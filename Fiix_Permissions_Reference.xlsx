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TROYBR~1\AppData\Local\Temp\fiix-permissions-build\"/>
    </mc:Choice>
  </mc:AlternateContent>
  <xr:revisionPtr revIDLastSave="0" documentId="8_{DABC64F3-2F5B-4B4D-9FAB-C4F3A517CEAC}" xr6:coauthVersionLast="47" xr6:coauthVersionMax="47" xr10:uidLastSave="{00000000-0000-0000-0000-000000000000}"/>
  <bookViews>
    <workbookView xWindow="4800" yWindow="3290" windowWidth="14400" windowHeight="8710" xr2:uid="{00000000-000D-0000-FFFF-FFFF00000000}"/>
  </bookViews>
  <sheets>
    <sheet name="Read Me" sheetId="1" r:id="rId1"/>
    <sheet name="Summary" sheetId="2" r:id="rId2"/>
    <sheet name="Page Permissions" sheetId="3" r:id="rId3"/>
    <sheet name="Menu Permissions" sheetId="4" r:id="rId4"/>
    <sheet name="Purchasing Permissions" sheetId="5" r:id="rId5"/>
    <sheet name="API Permissions" sheetId="6" r:id="rId6"/>
    <sheet name="Dependencies" sheetId="7" r:id="rId7"/>
    <sheet name="Dependency Tree" sheetId="8" r:id="rId8"/>
    <sheet name="Feature Permissions (v5)" sheetId="9" r:id="rId9"/>
    <sheet name="v6 Reference (not v5)" sheetId="10" r:id="rId10"/>
  </sheets>
  <definedNames>
    <definedName name="_xlnm._FilterDatabase" localSheetId="5" hidden="1">'API Permissions'!$A$1:$G$72</definedName>
    <definedName name="_xlnm._FilterDatabase" localSheetId="6" hidden="1">Dependencies!$A$1:$E$63</definedName>
    <definedName name="_xlnm._FilterDatabase" localSheetId="8" hidden="1">'Feature Permissions (v5)'!$A$1:$G$66</definedName>
    <definedName name="_xlnm._FilterDatabase" localSheetId="3" hidden="1">'Menu Permissions'!$A$1:$I$54</definedName>
    <definedName name="_xlnm._FilterDatabase" localSheetId="2" hidden="1">'Page Permissions'!$A$1:$J$475</definedName>
    <definedName name="_xlnm._FilterDatabase" localSheetId="4" hidden="1">'Purchasing Permissions'!$A$1:$I$14</definedName>
    <definedName name="_xlnm._FilterDatabase" localSheetId="9" hidden="1">'v6 Reference (not v5)'!$A$2:$E$27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2" i="6" l="1"/>
  <c r="G71" i="6"/>
  <c r="G70" i="6"/>
  <c r="G69" i="6"/>
  <c r="G68" i="6"/>
  <c r="G67" i="6"/>
  <c r="G66" i="6"/>
  <c r="G65" i="6"/>
  <c r="G64" i="6"/>
  <c r="G63" i="6"/>
  <c r="G62" i="6"/>
  <c r="G61" i="6"/>
  <c r="G60" i="6"/>
  <c r="G59" i="6"/>
  <c r="G58" i="6"/>
  <c r="G57" i="6"/>
  <c r="G56" i="6"/>
  <c r="G55" i="6"/>
  <c r="G54" i="6"/>
  <c r="G53" i="6"/>
  <c r="G52" i="6"/>
  <c r="G51" i="6"/>
  <c r="G50" i="6"/>
  <c r="G49" i="6"/>
  <c r="G48" i="6"/>
  <c r="G47" i="6"/>
  <c r="G46" i="6"/>
  <c r="G45" i="6"/>
  <c r="G44" i="6"/>
  <c r="G43" i="6"/>
  <c r="G42" i="6"/>
  <c r="G41" i="6"/>
  <c r="G40" i="6"/>
  <c r="G39" i="6"/>
  <c r="G38" i="6"/>
  <c r="G37" i="6"/>
  <c r="G36" i="6"/>
  <c r="G35" i="6"/>
  <c r="G34" i="6"/>
  <c r="G33" i="6"/>
  <c r="G32" i="6"/>
  <c r="G31" i="6"/>
  <c r="G30" i="6"/>
  <c r="G29" i="6"/>
  <c r="G28" i="6"/>
  <c r="G27" i="6"/>
  <c r="G26" i="6"/>
  <c r="G25" i="6"/>
  <c r="G24" i="6"/>
  <c r="G23" i="6"/>
  <c r="G22" i="6"/>
  <c r="G21" i="6"/>
  <c r="G20" i="6"/>
  <c r="G19" i="6"/>
  <c r="G18" i="6"/>
  <c r="G17" i="6"/>
  <c r="G16" i="6"/>
  <c r="G15" i="6"/>
  <c r="G14" i="6"/>
  <c r="G13" i="6"/>
  <c r="G12" i="6"/>
  <c r="G11" i="6"/>
  <c r="G10" i="6"/>
  <c r="G9" i="6"/>
  <c r="G8" i="6"/>
  <c r="G7" i="6"/>
  <c r="G6" i="6"/>
  <c r="G5" i="6"/>
  <c r="G4" i="6"/>
  <c r="G3" i="6"/>
  <c r="G2" i="6"/>
  <c r="I14" i="5"/>
  <c r="I13" i="5"/>
  <c r="I12" i="5"/>
  <c r="I11" i="5"/>
  <c r="I10" i="5"/>
  <c r="I9" i="5"/>
  <c r="I8" i="5"/>
  <c r="I7" i="5"/>
  <c r="I6" i="5"/>
  <c r="I5" i="5"/>
  <c r="I4" i="5"/>
  <c r="I3" i="5"/>
  <c r="I2" i="5"/>
  <c r="I54" i="4"/>
  <c r="I53" i="4"/>
  <c r="I52" i="4"/>
  <c r="I51" i="4"/>
  <c r="I50" i="4"/>
  <c r="I49" i="4"/>
  <c r="I48" i="4"/>
  <c r="I47" i="4"/>
  <c r="I46" i="4"/>
  <c r="I45" i="4"/>
  <c r="I44" i="4"/>
  <c r="I43" i="4"/>
  <c r="I42" i="4"/>
  <c r="I41" i="4"/>
  <c r="I40" i="4"/>
  <c r="I39" i="4"/>
  <c r="I38" i="4"/>
  <c r="I37" i="4"/>
  <c r="I36" i="4"/>
  <c r="I35" i="4"/>
  <c r="I34" i="4"/>
  <c r="I33" i="4"/>
  <c r="I32" i="4"/>
  <c r="I31" i="4"/>
  <c r="I30" i="4"/>
  <c r="I29" i="4"/>
  <c r="I28" i="4"/>
  <c r="I27" i="4"/>
  <c r="I26" i="4"/>
  <c r="I25" i="4"/>
  <c r="I24" i="4"/>
  <c r="I23" i="4"/>
  <c r="I22" i="4"/>
  <c r="I21" i="4"/>
  <c r="I20" i="4"/>
  <c r="I19" i="4"/>
  <c r="I18" i="4"/>
  <c r="I17" i="4"/>
  <c r="I16" i="4"/>
  <c r="I15" i="4"/>
  <c r="I14" i="4"/>
  <c r="I13" i="4"/>
  <c r="I12" i="4"/>
  <c r="I11" i="4"/>
  <c r="I10" i="4"/>
  <c r="I9" i="4"/>
  <c r="I8" i="4"/>
  <c r="I7" i="4"/>
  <c r="I6" i="4"/>
  <c r="I5" i="4"/>
  <c r="I4" i="4"/>
  <c r="I3" i="4"/>
  <c r="I2" i="4"/>
  <c r="I475" i="3"/>
  <c r="I474" i="3"/>
  <c r="I473" i="3"/>
  <c r="I472" i="3"/>
  <c r="I471" i="3"/>
  <c r="I470" i="3"/>
  <c r="I469" i="3"/>
  <c r="I468" i="3"/>
  <c r="I467" i="3"/>
  <c r="I466" i="3"/>
  <c r="I465" i="3"/>
  <c r="I464" i="3"/>
  <c r="I463" i="3"/>
  <c r="I462" i="3"/>
  <c r="I461" i="3"/>
  <c r="I460" i="3"/>
  <c r="I459" i="3"/>
  <c r="I458" i="3"/>
  <c r="I457" i="3"/>
  <c r="I456" i="3"/>
  <c r="I455" i="3"/>
  <c r="I454" i="3"/>
  <c r="I453" i="3"/>
  <c r="I452" i="3"/>
  <c r="I451" i="3"/>
  <c r="I450" i="3"/>
  <c r="I449" i="3"/>
  <c r="I448" i="3"/>
  <c r="I447" i="3"/>
  <c r="I446" i="3"/>
  <c r="I445" i="3"/>
  <c r="I444" i="3"/>
  <c r="I443" i="3"/>
  <c r="I442" i="3"/>
  <c r="I441" i="3"/>
  <c r="I440" i="3"/>
  <c r="I439" i="3"/>
  <c r="I438" i="3"/>
  <c r="I437" i="3"/>
  <c r="I436" i="3"/>
  <c r="I435" i="3"/>
  <c r="I434" i="3"/>
  <c r="I433" i="3"/>
  <c r="I432" i="3"/>
  <c r="I431" i="3"/>
  <c r="I430" i="3"/>
  <c r="I429" i="3"/>
  <c r="I428" i="3"/>
  <c r="I427" i="3"/>
  <c r="I426" i="3"/>
  <c r="I425" i="3"/>
  <c r="I424" i="3"/>
  <c r="I423" i="3"/>
  <c r="I422" i="3"/>
  <c r="I421" i="3"/>
  <c r="I420" i="3"/>
  <c r="I419" i="3"/>
  <c r="I418" i="3"/>
  <c r="I417" i="3"/>
  <c r="I416" i="3"/>
  <c r="I415" i="3"/>
  <c r="I414" i="3"/>
  <c r="I413" i="3"/>
  <c r="I412" i="3"/>
  <c r="I411" i="3"/>
  <c r="I410" i="3"/>
  <c r="I409" i="3"/>
  <c r="I408" i="3"/>
  <c r="I407" i="3"/>
  <c r="I406" i="3"/>
  <c r="I405" i="3"/>
  <c r="I404" i="3"/>
  <c r="I403" i="3"/>
  <c r="I402" i="3"/>
  <c r="I401" i="3"/>
  <c r="I400" i="3"/>
  <c r="I399" i="3"/>
  <c r="I398" i="3"/>
  <c r="I397" i="3"/>
  <c r="I396" i="3"/>
  <c r="I395" i="3"/>
  <c r="I394" i="3"/>
  <c r="I393" i="3"/>
  <c r="I392" i="3"/>
  <c r="I391" i="3"/>
  <c r="I390" i="3"/>
  <c r="I389" i="3"/>
  <c r="I388" i="3"/>
  <c r="I387" i="3"/>
  <c r="I386" i="3"/>
  <c r="I385" i="3"/>
  <c r="I384" i="3"/>
  <c r="I383" i="3"/>
  <c r="I382" i="3"/>
  <c r="I381" i="3"/>
  <c r="I380" i="3"/>
  <c r="I379" i="3"/>
  <c r="I378" i="3"/>
  <c r="I377" i="3"/>
  <c r="I376" i="3"/>
  <c r="I375" i="3"/>
  <c r="I374" i="3"/>
  <c r="I373" i="3"/>
  <c r="I372" i="3"/>
  <c r="I371" i="3"/>
  <c r="I370" i="3"/>
  <c r="I369" i="3"/>
  <c r="I368" i="3"/>
  <c r="I367" i="3"/>
  <c r="I366" i="3"/>
  <c r="I365" i="3"/>
  <c r="I364" i="3"/>
  <c r="I363" i="3"/>
  <c r="I362" i="3"/>
  <c r="I361" i="3"/>
  <c r="I360" i="3"/>
  <c r="I359" i="3"/>
  <c r="I358" i="3"/>
  <c r="I357" i="3"/>
  <c r="I356" i="3"/>
  <c r="I355" i="3"/>
  <c r="I354" i="3"/>
  <c r="I353" i="3"/>
  <c r="I352" i="3"/>
  <c r="I351" i="3"/>
  <c r="I350" i="3"/>
  <c r="I349" i="3"/>
  <c r="I348" i="3"/>
  <c r="I347" i="3"/>
  <c r="I346" i="3"/>
  <c r="I345" i="3"/>
  <c r="I344" i="3"/>
  <c r="I343" i="3"/>
  <c r="I342" i="3"/>
  <c r="I341" i="3"/>
  <c r="I340" i="3"/>
  <c r="I339" i="3"/>
  <c r="I338" i="3"/>
  <c r="I337" i="3"/>
  <c r="I336" i="3"/>
  <c r="I335" i="3"/>
  <c r="I334" i="3"/>
  <c r="I333" i="3"/>
  <c r="I332" i="3"/>
  <c r="I331" i="3"/>
  <c r="I330" i="3"/>
  <c r="I329" i="3"/>
  <c r="I328" i="3"/>
  <c r="I327" i="3"/>
  <c r="I326" i="3"/>
  <c r="I325" i="3"/>
  <c r="I324" i="3"/>
  <c r="I323" i="3"/>
  <c r="I322" i="3"/>
  <c r="I321" i="3"/>
  <c r="I320" i="3"/>
  <c r="I319" i="3"/>
  <c r="I318" i="3"/>
  <c r="I317" i="3"/>
  <c r="I316" i="3"/>
  <c r="I315" i="3"/>
  <c r="I314" i="3"/>
  <c r="I313" i="3"/>
  <c r="I312" i="3"/>
  <c r="I311" i="3"/>
  <c r="I310" i="3"/>
  <c r="I309" i="3"/>
  <c r="I308" i="3"/>
  <c r="I307" i="3"/>
  <c r="I306" i="3"/>
  <c r="I305" i="3"/>
  <c r="I304" i="3"/>
  <c r="I303" i="3"/>
  <c r="I302" i="3"/>
  <c r="I301" i="3"/>
  <c r="I300" i="3"/>
  <c r="I299" i="3"/>
  <c r="I298" i="3"/>
  <c r="I297" i="3"/>
  <c r="I296" i="3"/>
  <c r="I295" i="3"/>
  <c r="I294" i="3"/>
  <c r="I293" i="3"/>
  <c r="I292" i="3"/>
  <c r="I291" i="3"/>
  <c r="I290" i="3"/>
  <c r="I289" i="3"/>
  <c r="I288" i="3"/>
  <c r="I287" i="3"/>
  <c r="I286" i="3"/>
  <c r="I285" i="3"/>
  <c r="I284" i="3"/>
  <c r="I283" i="3"/>
  <c r="I282" i="3"/>
  <c r="I281" i="3"/>
  <c r="I280" i="3"/>
  <c r="I279" i="3"/>
  <c r="I278" i="3"/>
  <c r="I277" i="3"/>
  <c r="I276" i="3"/>
  <c r="I275" i="3"/>
  <c r="I274" i="3"/>
  <c r="I273" i="3"/>
  <c r="I272" i="3"/>
  <c r="I271" i="3"/>
  <c r="I270" i="3"/>
  <c r="I269" i="3"/>
  <c r="I268" i="3"/>
  <c r="I267" i="3"/>
  <c r="I266" i="3"/>
  <c r="I265" i="3"/>
  <c r="I264" i="3"/>
  <c r="I263" i="3"/>
  <c r="I262" i="3"/>
  <c r="I261" i="3"/>
  <c r="I260" i="3"/>
  <c r="I259" i="3"/>
  <c r="I258" i="3"/>
  <c r="I257" i="3"/>
  <c r="I256" i="3"/>
  <c r="I255" i="3"/>
  <c r="I254" i="3"/>
  <c r="I253" i="3"/>
  <c r="I252" i="3"/>
  <c r="I251" i="3"/>
  <c r="I250" i="3"/>
  <c r="I249" i="3"/>
  <c r="I248" i="3"/>
  <c r="I247" i="3"/>
  <c r="I246" i="3"/>
  <c r="I245" i="3"/>
  <c r="I244" i="3"/>
  <c r="I243" i="3"/>
  <c r="I242" i="3"/>
  <c r="I241" i="3"/>
  <c r="I240" i="3"/>
  <c r="I239" i="3"/>
  <c r="I238" i="3"/>
  <c r="I237" i="3"/>
  <c r="I236" i="3"/>
  <c r="I235" i="3"/>
  <c r="I234" i="3"/>
  <c r="I233" i="3"/>
  <c r="I232" i="3"/>
  <c r="I231" i="3"/>
  <c r="I230" i="3"/>
  <c r="I229" i="3"/>
  <c r="I228" i="3"/>
  <c r="I227" i="3"/>
  <c r="I226" i="3"/>
  <c r="I225" i="3"/>
  <c r="I224" i="3"/>
  <c r="I223" i="3"/>
  <c r="I222" i="3"/>
  <c r="I221" i="3"/>
  <c r="I220" i="3"/>
  <c r="I219" i="3"/>
  <c r="I218" i="3"/>
  <c r="I217" i="3"/>
  <c r="I216" i="3"/>
  <c r="I215" i="3"/>
  <c r="I214" i="3"/>
  <c r="I213" i="3"/>
  <c r="I212" i="3"/>
  <c r="I211" i="3"/>
  <c r="I210" i="3"/>
  <c r="I209" i="3"/>
  <c r="I208" i="3"/>
  <c r="I207" i="3"/>
  <c r="I206" i="3"/>
  <c r="I205" i="3"/>
  <c r="I204" i="3"/>
  <c r="I203" i="3"/>
  <c r="I202" i="3"/>
  <c r="I201" i="3"/>
  <c r="I200" i="3"/>
  <c r="I199" i="3"/>
  <c r="I198" i="3"/>
  <c r="I197" i="3"/>
  <c r="I196" i="3"/>
  <c r="I195" i="3"/>
  <c r="I194" i="3"/>
  <c r="I193" i="3"/>
  <c r="I192" i="3"/>
  <c r="I191" i="3"/>
  <c r="I190" i="3"/>
  <c r="I189" i="3"/>
  <c r="I188" i="3"/>
  <c r="I187" i="3"/>
  <c r="I186" i="3"/>
  <c r="I185" i="3"/>
  <c r="I184" i="3"/>
  <c r="I183" i="3"/>
  <c r="I182" i="3"/>
  <c r="I181" i="3"/>
  <c r="I180" i="3"/>
  <c r="I179" i="3"/>
  <c r="I178" i="3"/>
  <c r="I177" i="3"/>
  <c r="I176" i="3"/>
  <c r="I175" i="3"/>
  <c r="I174" i="3"/>
  <c r="I173" i="3"/>
  <c r="I172" i="3"/>
  <c r="I171" i="3"/>
  <c r="I170" i="3"/>
  <c r="I169" i="3"/>
  <c r="I168" i="3"/>
  <c r="I167" i="3"/>
  <c r="I166" i="3"/>
  <c r="I165" i="3"/>
  <c r="I164" i="3"/>
  <c r="I163" i="3"/>
  <c r="I162" i="3"/>
  <c r="I161" i="3"/>
  <c r="I160" i="3"/>
  <c r="I159" i="3"/>
  <c r="I158" i="3"/>
  <c r="I157" i="3"/>
  <c r="I156" i="3"/>
  <c r="I155" i="3"/>
  <c r="I154" i="3"/>
  <c r="I153" i="3"/>
  <c r="I152" i="3"/>
  <c r="I151" i="3"/>
  <c r="I150" i="3"/>
  <c r="I149" i="3"/>
  <c r="I148" i="3"/>
  <c r="I147" i="3"/>
  <c r="I146" i="3"/>
  <c r="I145" i="3"/>
  <c r="I144" i="3"/>
  <c r="I143" i="3"/>
  <c r="I142" i="3"/>
  <c r="I141" i="3"/>
  <c r="I140" i="3"/>
  <c r="I139" i="3"/>
  <c r="I138" i="3"/>
  <c r="I137" i="3"/>
  <c r="I136" i="3"/>
  <c r="I135" i="3"/>
  <c r="I134" i="3"/>
  <c r="I133" i="3"/>
  <c r="I132" i="3"/>
  <c r="I131" i="3"/>
  <c r="I130" i="3"/>
  <c r="I129" i="3"/>
  <c r="I128" i="3"/>
  <c r="I127" i="3"/>
  <c r="I126" i="3"/>
  <c r="I125" i="3"/>
  <c r="I124" i="3"/>
  <c r="I123" i="3"/>
  <c r="I122" i="3"/>
  <c r="I121" i="3"/>
  <c r="I120" i="3"/>
  <c r="I119" i="3"/>
  <c r="I118" i="3"/>
  <c r="I117" i="3"/>
  <c r="I116" i="3"/>
  <c r="I115" i="3"/>
  <c r="I114" i="3"/>
  <c r="I113" i="3"/>
  <c r="I112" i="3"/>
  <c r="I111" i="3"/>
  <c r="I110" i="3"/>
  <c r="I109" i="3"/>
  <c r="I108" i="3"/>
  <c r="I107" i="3"/>
  <c r="I106" i="3"/>
  <c r="I105" i="3"/>
  <c r="I104" i="3"/>
  <c r="I103" i="3"/>
  <c r="I102" i="3"/>
  <c r="I101" i="3"/>
  <c r="I100" i="3"/>
  <c r="I99" i="3"/>
  <c r="I98" i="3"/>
  <c r="I97" i="3"/>
  <c r="I96" i="3"/>
  <c r="I95" i="3"/>
  <c r="I94" i="3"/>
  <c r="I93" i="3"/>
  <c r="I92" i="3"/>
  <c r="I91" i="3"/>
  <c r="I90" i="3"/>
  <c r="I89" i="3"/>
  <c r="I88" i="3"/>
  <c r="I87" i="3"/>
  <c r="I86" i="3"/>
  <c r="I85" i="3"/>
  <c r="I84" i="3"/>
  <c r="I83" i="3"/>
  <c r="I82" i="3"/>
  <c r="I81" i="3"/>
  <c r="I80" i="3"/>
  <c r="I79" i="3"/>
  <c r="I78" i="3"/>
  <c r="I77" i="3"/>
  <c r="I76" i="3"/>
  <c r="I75" i="3"/>
  <c r="I74" i="3"/>
  <c r="I73" i="3"/>
  <c r="I72" i="3"/>
  <c r="I71" i="3"/>
  <c r="I70" i="3"/>
  <c r="I69" i="3"/>
  <c r="I68" i="3"/>
  <c r="I67" i="3"/>
  <c r="I66" i="3"/>
  <c r="I65" i="3"/>
  <c r="I64" i="3"/>
  <c r="I63" i="3"/>
  <c r="I62" i="3"/>
  <c r="I61" i="3"/>
  <c r="I60" i="3"/>
  <c r="I59" i="3"/>
  <c r="I58" i="3"/>
  <c r="I57" i="3"/>
  <c r="I56" i="3"/>
  <c r="I55" i="3"/>
  <c r="I54" i="3"/>
  <c r="I53" i="3"/>
  <c r="I52" i="3"/>
  <c r="I51" i="3"/>
  <c r="I50" i="3"/>
  <c r="I49" i="3"/>
  <c r="I48" i="3"/>
  <c r="I47" i="3"/>
  <c r="I46" i="3"/>
  <c r="I45" i="3"/>
  <c r="I44" i="3"/>
  <c r="I43" i="3"/>
  <c r="I42" i="3"/>
  <c r="I41" i="3"/>
  <c r="I40" i="3"/>
  <c r="I39" i="3"/>
  <c r="I38" i="3"/>
  <c r="I37" i="3"/>
  <c r="I36" i="3"/>
  <c r="I35" i="3"/>
  <c r="I34" i="3"/>
  <c r="I33" i="3"/>
  <c r="I32" i="3"/>
  <c r="I31" i="3"/>
  <c r="I30" i="3"/>
  <c r="I29" i="3"/>
  <c r="I28" i="3"/>
  <c r="I27" i="3"/>
  <c r="I26" i="3"/>
  <c r="I25" i="3"/>
  <c r="I24" i="3"/>
  <c r="I23" i="3"/>
  <c r="I22" i="3"/>
  <c r="I21" i="3"/>
  <c r="I20" i="3"/>
  <c r="I19" i="3"/>
  <c r="I18" i="3"/>
  <c r="I17" i="3"/>
  <c r="I16" i="3"/>
  <c r="I15" i="3"/>
  <c r="I14" i="3"/>
  <c r="I13" i="3"/>
  <c r="I12" i="3"/>
  <c r="I11" i="3"/>
  <c r="I10" i="3"/>
  <c r="I9" i="3"/>
  <c r="I8" i="3"/>
  <c r="I7" i="3"/>
  <c r="I6" i="3"/>
  <c r="I5" i="3"/>
  <c r="I4" i="3"/>
  <c r="I3" i="3"/>
  <c r="I2" i="3"/>
  <c r="F21" i="2"/>
  <c r="E21" i="2"/>
  <c r="D21" i="2"/>
  <c r="C21" i="2"/>
  <c r="B21" i="2"/>
  <c r="F20" i="2"/>
  <c r="E20" i="2"/>
  <c r="D20" i="2"/>
  <c r="C20" i="2"/>
  <c r="B20" i="2"/>
  <c r="F19" i="2"/>
  <c r="E19" i="2"/>
  <c r="D19" i="2"/>
  <c r="C19" i="2"/>
  <c r="B19" i="2"/>
  <c r="F18" i="2"/>
  <c r="E18" i="2"/>
  <c r="D18" i="2"/>
  <c r="C18" i="2"/>
  <c r="B18" i="2"/>
  <c r="F17" i="2"/>
  <c r="E17" i="2"/>
  <c r="D17" i="2"/>
  <c r="C17" i="2"/>
  <c r="B17" i="2"/>
  <c r="D11" i="2"/>
  <c r="C11" i="2"/>
  <c r="E11" i="2" s="1"/>
  <c r="B11" i="2"/>
  <c r="D10" i="2"/>
  <c r="E10" i="2" s="1"/>
  <c r="C10" i="2"/>
  <c r="B10" i="2"/>
  <c r="D9" i="2"/>
  <c r="C9" i="2"/>
  <c r="F9" i="2" s="1"/>
  <c r="B9" i="2"/>
  <c r="D8" i="2"/>
  <c r="C8" i="2"/>
  <c r="B8" i="2"/>
  <c r="D7" i="2"/>
  <c r="C7" i="2"/>
  <c r="B7" i="2"/>
  <c r="D6" i="2"/>
  <c r="E6" i="2" s="1"/>
  <c r="C6" i="2"/>
  <c r="B6" i="2"/>
  <c r="D5" i="2"/>
  <c r="C5" i="2"/>
  <c r="B5" i="2"/>
  <c r="E7" i="2" l="1"/>
  <c r="F7" i="2"/>
  <c r="E9" i="2"/>
  <c r="E5" i="2"/>
  <c r="F5" i="2"/>
  <c r="E8" i="2"/>
  <c r="F8" i="2"/>
  <c r="F10" i="2"/>
  <c r="F6" i="2"/>
</calcChain>
</file>

<file path=xl/sharedStrings.xml><?xml version="1.0" encoding="utf-8"?>
<sst xmlns="http://schemas.openxmlformats.org/spreadsheetml/2006/main" count="4653" uniqueCount="672">
  <si>
    <t>Fiix permissions reference</t>
  </si>
  <si>
    <t>Compiled from the Fiix Help Center permission library on 2026-10-02. Default settings only.</t>
  </si>
  <si>
    <t>What this is</t>
  </si>
  <si>
    <t>A searchable copy of the default Fiix user group permissions plus every documented dependency between permissions. Use it to see what each default group can do and what has to be switched on together. Scoped to Fiix v5. Content that only exists in v6 is on the grey 'v6 Reference (not v5)' tab and is excluded everywhere else.</t>
  </si>
  <si>
    <t>How v5 works</t>
  </si>
  <si>
    <t>Permissions live only on user groups. Go to Settings &gt; User Groups, open a group, and use its Menu, Page, Purchasing and API permission tabs. There are no system roles in v5, because user groups do that job. The fifth layer, role permissions, is v6 only.</t>
  </si>
  <si>
    <t>What it is not</t>
  </si>
  <si>
    <t>It does not show YOUR tenant's settings. Any group you have edited or created will differ. Fiix's own API can export your actual groups, which is a good next check.</t>
  </si>
  <si>
    <t>Default groups</t>
  </si>
  <si>
    <t>Guests, Logistics, Manager, Purchasing, Technician, Admin. Source tables abbreviate these as Guest, Log., Mgr., Purch., Tech., Admin.</t>
  </si>
  <si>
    <t>Sheets</t>
  </si>
  <si>
    <t xml:space="preserve">  Summary</t>
  </si>
  <si>
    <t>Counts per group, calculated live from the sheets below with formulas.</t>
  </si>
  <si>
    <t xml:space="preserve">  Page Permissions</t>
  </si>
  <si>
    <t>Every page and sub-permission with the default groups that get it. Filter by group or page.</t>
  </si>
  <si>
    <t xml:space="preserve">  Menu Permissions</t>
  </si>
  <si>
    <t>Left navigation items per default group.</t>
  </si>
  <si>
    <t xml:space="preserve">  Purchasing Permissions</t>
  </si>
  <si>
    <t>Purchase order workflow steps per default group.</t>
  </si>
  <si>
    <t xml:space="preserve">  API Permissions</t>
  </si>
  <si>
    <t>Per Fiix class: A=Add, F=Find, C=Change, R=Remove. These class names are the same ones the Fiix API accepts as className.</t>
  </si>
  <si>
    <t xml:space="preserve">  Dependencies</t>
  </si>
  <si>
    <t>Every documented prerequisite, one row per link, plus general rules about how the permission types fit together.</t>
  </si>
  <si>
    <t xml:space="preserve">  Dependency Tree</t>
  </si>
  <si>
    <t>The same links drawn as an indented tree. Each permission sits under its deepest prerequisite; any others are in 'Also requires'.</t>
  </si>
  <si>
    <t xml:space="preserve">  Feature Permissions (v5)</t>
  </si>
  <si>
    <t>Descriptions of asset, scheduled maintenance, v5 work order and user management permissions.</t>
  </si>
  <si>
    <t xml:space="preserve">  v6 Reference (not v5)</t>
  </si>
  <si>
    <t>System role and v6 work order permissions. Does not apply to a v5 tenant.</t>
  </si>
  <si>
    <t>Cautions</t>
  </si>
  <si>
    <t xml:space="preserve">  Version is per feature</t>
  </si>
  <si>
    <t>Fiix rolls v6 out feature by feature, so Work Orders and User Management can each be v5 or v6. Fiix's two 'Which version am I using' articles show how to tell: Maintenance &gt; Work Orders, and Settings &gt; Users.</t>
  </si>
  <si>
    <t xml:space="preserve">  Help Center how-to is v6</t>
  </si>
  <si>
    <t>Fiix's step-by-step user group articles, including 'Basic setup: Permissions, users groups, and roles', are written for v6. For v5, use 'About permissions' and this workbook.</t>
  </si>
  <si>
    <t xml:space="preserve">  Source quirk: seats handler</t>
  </si>
  <si>
    <t>The user management permissions article calls 'User Increase Tenant Seats - UI handler' defunct. Fiix's v5/v6 comparison still lists it as a requirement for changing user status. Both are shown.</t>
  </si>
  <si>
    <t xml:space="preserve">  API in v5</t>
  </si>
  <si>
    <t>Fiix says v5 tenants can reach all tables in the API reference, and that API access is Enterprise only.</t>
  </si>
  <si>
    <t xml:space="preserve">  Source quirk: Technician menu</t>
  </si>
  <si>
    <t>The default menu table shows Technicians WITHOUT the Work Orders and Assigned Work Orders menu items, while the default user groups article says Technicians can see work orders. Verify in your tenant.</t>
  </si>
  <si>
    <t xml:space="preserve">  Source quirk: blank page name</t>
  </si>
  <si>
    <t>One row in the page permissions table, 'Has Transfer stock button', has a blank page name in the source. It sits directly after Stock, so it is listed there and marked.</t>
  </si>
  <si>
    <t xml:space="preserve">  Dependencies are partial</t>
  </si>
  <si>
    <t>Fiix documents prerequisites for system roles, v6 work orders, assets, scheduled maintenance and user status. Other pages have none published, which does not prove none exist.</t>
  </si>
  <si>
    <t xml:space="preserve">  Wording</t>
  </si>
  <si>
    <t>Descriptions are lightly condensed from the Help Center text. Check the linked article for the authoritative wording.</t>
  </si>
  <si>
    <t>Derived columns</t>
  </si>
  <si>
    <t>'Page type' on Page Permissions and 'Level' on Menu Permissions were added here, not taken from Fiix. List page = has a New button. Detail page = has a Save button.</t>
  </si>
  <si>
    <t>Sources</t>
  </si>
  <si>
    <t>Article</t>
  </si>
  <si>
    <t>URL</t>
  </si>
  <si>
    <t>About permissions</t>
  </si>
  <si>
    <t>https://helpdesk.fiixsoftware.com/hc/en-us/articles/360049317472-About-permissions</t>
  </si>
  <si>
    <t>About default user groups</t>
  </si>
  <si>
    <t>https://helpdesk.fiixsoftware.com/hc/en-us/articles/18165584633876-About-default-user-groups</t>
  </si>
  <si>
    <t>Which version of User Management am I using?</t>
  </si>
  <si>
    <t>https://helpdesk.fiixsoftware.com/hc/en-us/articles/13012571221396-Which-version-of-User-Management-am-I-using</t>
  </si>
  <si>
    <t>Which version of Work Orders am I using?</t>
  </si>
  <si>
    <t>https://helpdesk.fiixsoftware.com/hc/en-us/articles/7884592276756-Which-version-of-Work-Orders-am-I-using</t>
  </si>
  <si>
    <t>Compare user management v5 and v6 features</t>
  </si>
  <si>
    <t>https://helpdesk.fiixsoftware.com/hc/en-us/articles/21769760933652-Compare-user-management-v5-and-v6-features</t>
  </si>
  <si>
    <t>Default user group permissions - page permissions</t>
  </si>
  <si>
    <t>https://helpdesk.fiixsoftware.com/hc/en-us/articles/360049275232-Default-user-group-permissions-page-permissions</t>
  </si>
  <si>
    <t>Default user group permissions - menu permissions</t>
  </si>
  <si>
    <t>https://helpdesk.fiixsoftware.com/hc/en-us/articles/360049707091-Default-user-group-permissions-menu-permissions</t>
  </si>
  <si>
    <t>Default user group permissions - purchasing</t>
  </si>
  <si>
    <t>https://helpdesk.fiixsoftware.com/hc/en-us/articles/360049317492-Default-user-group-permissions-purchasing</t>
  </si>
  <si>
    <t>Default user group permissions - API permissions</t>
  </si>
  <si>
    <t>https://helpdesk.fiixsoftware.com/hc/en-us/articles/360049795251-Default-user-group-permissions-API-permissions</t>
  </si>
  <si>
    <t>Work orders permissions (v5)</t>
  </si>
  <si>
    <t>https://helpdesk.fiixsoftware.com/hc/en-us/articles/40598772915988-Work-orders-permissions</t>
  </si>
  <si>
    <t>Asset permissions</t>
  </si>
  <si>
    <t>https://helpdesk.fiixsoftware.com/hc/en-us/articles/42176625317652-Asset-permissions</t>
  </si>
  <si>
    <t>Scheduled maintenance permissions</t>
  </si>
  <si>
    <t>https://helpdesk.fiixsoftware.com/hc/en-us/articles/42451817320340-Scheduled-maintenance-permissions</t>
  </si>
  <si>
    <t>User management permissions</t>
  </si>
  <si>
    <t>https://helpdesk.fiixsoftware.com/hc/en-us/articles/41281346164244-User-management-permissions</t>
  </si>
  <si>
    <t>Permission library (section index)</t>
  </si>
  <si>
    <t>https://helpdesk.fiixsoftware.com/hc/en-us/sections/360010366012-Permission-library</t>
  </si>
  <si>
    <t>[v6 only] System role permissions</t>
  </si>
  <si>
    <t>https://helpdesk.fiixsoftware.com/hc/en-us/articles/25255386559252-System-role-permissions</t>
  </si>
  <si>
    <t>[v6 only] Work orders permissions (v6)</t>
  </si>
  <si>
    <t>https://helpdesk.fiixsoftware.com/hc/en-us/articles/27945783675924-Work-orders-permissions-v6</t>
  </si>
  <si>
    <t>Default permissions per group</t>
  </si>
  <si>
    <t>All numbers are formulas over the other sheets. They update if you edit those sheets.</t>
  </si>
  <si>
    <t>Group</t>
  </si>
  <si>
    <t>Menu permissions</t>
  </si>
  <si>
    <t>Page permissions</t>
  </si>
  <si>
    <t>Purchasing permissions</t>
  </si>
  <si>
    <t>Total granted</t>
  </si>
  <si>
    <t>Share of all page permissions</t>
  </si>
  <si>
    <t>Guests</t>
  </si>
  <si>
    <t>Logistics</t>
  </si>
  <si>
    <t>Manager</t>
  </si>
  <si>
    <t>Purchasing</t>
  </si>
  <si>
    <t>Technician</t>
  </si>
  <si>
    <t>Admin</t>
  </si>
  <si>
    <t>Total available</t>
  </si>
  <si>
    <t>API access per group (Fiix classes)</t>
  </si>
  <si>
    <t>Classes with any access</t>
  </si>
  <si>
    <t>Classes with Find</t>
  </si>
  <si>
    <t>Classes with any write (Add, Change or Remove)</t>
  </si>
  <si>
    <t>Classes with full access</t>
  </si>
  <si>
    <t>Total classes</t>
  </si>
  <si>
    <t>Administrators</t>
  </si>
  <si>
    <t>Managers</t>
  </si>
  <si>
    <t>Technicians</t>
  </si>
  <si>
    <t>Guests have no API permissions and are not listed.</t>
  </si>
  <si>
    <t>Page</t>
  </si>
  <si>
    <t>Permission</t>
  </si>
  <si>
    <t>Groups granted</t>
  </si>
  <si>
    <t>Page type</t>
  </si>
  <si>
    <t>Add To Open Purchase Order</t>
  </si>
  <si>
    <t>Can Access</t>
  </si>
  <si>
    <t>✓</t>
  </si>
  <si>
    <t>List page</t>
  </si>
  <si>
    <t>Has 'New' Button</t>
  </si>
  <si>
    <t>Has 'Edit' Menu Item</t>
  </si>
  <si>
    <t>Has 'Print' Button</t>
  </si>
  <si>
    <t>Has 'Delete' Button</t>
  </si>
  <si>
    <t>Has 'Export' Button</t>
  </si>
  <si>
    <t>Has 'Import' Button</t>
  </si>
  <si>
    <t>Add to Open RFQ</t>
  </si>
  <si>
    <t>Asset Business</t>
  </si>
  <si>
    <t>Detail page</t>
  </si>
  <si>
    <t>Has 'Save' Button</t>
  </si>
  <si>
    <t>Asset</t>
  </si>
  <si>
    <t>Asset Categories</t>
  </si>
  <si>
    <t>Asset Category</t>
  </si>
  <si>
    <t>Asset Event</t>
  </si>
  <si>
    <t>Asset Events History</t>
  </si>
  <si>
    <t>Asset File</t>
  </si>
  <si>
    <t>Assets</t>
  </si>
  <si>
    <t>Asset Parts Supplies</t>
  </si>
  <si>
    <t>Assigned Assets</t>
  </si>
  <si>
    <t>Assigned Work Orders</t>
  </si>
  <si>
    <t>BOM Groups Manager</t>
  </si>
  <si>
    <t>BOMGroup</t>
  </si>
  <si>
    <t>Business</t>
  </si>
  <si>
    <t>Business Contact</t>
  </si>
  <si>
    <t>Business File</t>
  </si>
  <si>
    <t>Businesses</t>
  </si>
  <si>
    <t>Calendar</t>
  </si>
  <si>
    <t>Other</t>
  </si>
  <si>
    <t>Calendar Scheduler</t>
  </si>
  <si>
    <t>Current Stock</t>
  </si>
  <si>
    <t>Cycle Count</t>
  </si>
  <si>
    <t>Cycle Counts</t>
  </si>
  <si>
    <t>Dashboard</t>
  </si>
  <si>
    <t>Can See Timeline</t>
  </si>
  <si>
    <t>Email or Print RFQ</t>
  </si>
  <si>
    <t>Failure Code Actions</t>
  </si>
  <si>
    <t>Failure Code Causes</t>
  </si>
  <si>
    <t>Failure Code Problems</t>
  </si>
  <si>
    <t>Failure Code Similar Work Orders</t>
  </si>
  <si>
    <t>Message</t>
  </si>
  <si>
    <t>Messages</t>
  </si>
  <si>
    <t>Meter Reading</t>
  </si>
  <si>
    <t>Meter Reading History</t>
  </si>
  <si>
    <t>Misc Cost</t>
  </si>
  <si>
    <t>Move</t>
  </si>
  <si>
    <t>Move Back</t>
  </si>
  <si>
    <t>My Purchase Requests</t>
  </si>
  <si>
    <t>Nested PMs</t>
  </si>
  <si>
    <t>Nested PMs Configuration</t>
  </si>
  <si>
    <t>Nested PMView Modal</t>
  </si>
  <si>
    <t>Part Supply Classification</t>
  </si>
  <si>
    <t>Parts and Supplies Classification</t>
  </si>
  <si>
    <t>Personnel</t>
  </si>
  <si>
    <t>Project</t>
  </si>
  <si>
    <t>Project File</t>
  </si>
  <si>
    <t>Projects</t>
  </si>
  <si>
    <t>Purchase Order Comment</t>
  </si>
  <si>
    <t>Purchase Order</t>
  </si>
  <si>
    <t>Purchase Order File</t>
  </si>
  <si>
    <t>Purchase Order Line Item</t>
  </si>
  <si>
    <t>Purchase Order Line Items</t>
  </si>
  <si>
    <t>Purchase Order User</t>
  </si>
  <si>
    <t>Purchase Order, Comment Email Or Print</t>
  </si>
  <si>
    <t>Purchase Orders</t>
  </si>
  <si>
    <t>Purchase Request</t>
  </si>
  <si>
    <t>Receipt</t>
  </si>
  <si>
    <t>Receipt Line Item</t>
  </si>
  <si>
    <t>Receipts</t>
  </si>
  <si>
    <t>Receive Part To Multiple Locations</t>
  </si>
  <si>
    <t>Report</t>
  </si>
  <si>
    <t>Reports</t>
  </si>
  <si>
    <t>Reports To User</t>
  </si>
  <si>
    <t>RFQ</t>
  </si>
  <si>
    <t>RFQ File</t>
  </si>
  <si>
    <t>RFQ Line Item</t>
  </si>
  <si>
    <t>RFQs</t>
  </si>
  <si>
    <t>Scheduled Maintenance Business</t>
  </si>
  <si>
    <t>Scheduled Maintenance Details</t>
  </si>
  <si>
    <t>Scheduled Maintenance File</t>
  </si>
  <si>
    <t>Scheduled Maintenance List</t>
  </si>
  <si>
    <t>Scheduled Maintenance Trigger</t>
  </si>
  <si>
    <t>Scheduled Parts</t>
  </si>
  <si>
    <t>Scheduled Report</t>
  </si>
  <si>
    <t>Scheduled Report User</t>
  </si>
  <si>
    <t>Scheduled Task</t>
  </si>
  <si>
    <t>Scheduler</t>
  </si>
  <si>
    <t>Can Edit</t>
  </si>
  <si>
    <t>Can Access Filter</t>
  </si>
  <si>
    <t>Select Classes for Cycle Count</t>
  </si>
  <si>
    <t>Select From Multiple Suppliers</t>
  </si>
  <si>
    <t>Select Parts For Bill of Materials</t>
  </si>
  <si>
    <t>Select Purchase Order Cost Type</t>
  </si>
  <si>
    <t>Select Supplier and Confirm Information</t>
  </si>
  <si>
    <t>Stock</t>
  </si>
  <si>
    <t>Stock (page name blank in source)</t>
  </si>
  <si>
    <t>Has ‘Transfer stock’ button</t>
  </si>
  <si>
    <t>Stock Adjustment</t>
  </si>
  <si>
    <t>Submit Work Request</t>
  </si>
  <si>
    <t>Task</t>
  </si>
  <si>
    <t>Task Group</t>
  </si>
  <si>
    <t>Task Groups</t>
  </si>
  <si>
    <t>User</t>
  </si>
  <si>
    <t>User Certification</t>
  </si>
  <si>
    <t>User File</t>
  </si>
  <si>
    <t>Warranty Certificate</t>
  </si>
  <si>
    <t>Work Order Administration</t>
  </si>
  <si>
    <t>Can See 'Log Work' Info</t>
  </si>
  <si>
    <t>Can Toggle 'Requires Signature'</t>
  </si>
  <si>
    <t>Work Order Business</t>
  </si>
  <si>
    <t>Work Order File</t>
  </si>
  <si>
    <t>Work Order Parts</t>
  </si>
  <si>
    <t>Work Order Task</t>
  </si>
  <si>
    <t>Work Order User</t>
  </si>
  <si>
    <t>Work Orders</t>
  </si>
  <si>
    <t>Has 'Update/Close Work Order' Menu Item</t>
  </si>
  <si>
    <t>Level</t>
  </si>
  <si>
    <t>Can See 'Settings' Top Menu</t>
  </si>
  <si>
    <t>Top menu</t>
  </si>
  <si>
    <t>Can See 'Users' Menu Item</t>
  </si>
  <si>
    <t>Menu item</t>
  </si>
  <si>
    <t>Can See 'User Groups' Menu Item</t>
  </si>
  <si>
    <t>Can See 'Business' Menu Item</t>
  </si>
  <si>
    <t>Can See 'Import' Menu Item</t>
  </si>
  <si>
    <t>Can See 'Cmms Settings' Menu Item</t>
  </si>
  <si>
    <t>Can See 'Account Settings' Menu Item</t>
  </si>
  <si>
    <t>Can See 'Notification Templates' Menu Item</t>
  </si>
  <si>
    <t>Can See 'Connect Management' Menu Item</t>
  </si>
  <si>
    <t>Can See 'Data Dictionary' Menu Item</t>
  </si>
  <si>
    <t>Can See 'Localization' Menu Item</t>
  </si>
  <si>
    <t>Can See 'Audit Log' Menu Item</t>
  </si>
  <si>
    <t>Can See 'Workflows' Menu Item</t>
  </si>
  <si>
    <t>Can See 'Security And Infrastructure' Menu Item</t>
  </si>
  <si>
    <t>Can See 'Help' Top Menu</t>
  </si>
  <si>
    <t>Can See 'Log Off' Top Menu</t>
  </si>
  <si>
    <t>Can See 'Dashboard' Top Menu</t>
  </si>
  <si>
    <t>Can See 'Dashboard' Menu Item</t>
  </si>
  <si>
    <t>Can See 'Calendar' Menu Item</t>
  </si>
  <si>
    <t>Can See 'Assigned Assets' Menu Item</t>
  </si>
  <si>
    <t>Can See 'Assigned Work Orders' Menu Item</t>
  </si>
  <si>
    <t>Can See 'Submit Work Request' Menu Item</t>
  </si>
  <si>
    <t>Can See 'My Purchase Requests' Menu Item</t>
  </si>
  <si>
    <t>Can See 'Submit Purchase Request' Menu Item</t>
  </si>
  <si>
    <t>Can See 'Maintenance' Top Menu</t>
  </si>
  <si>
    <t>Can See 'Work Orders' Menu Item</t>
  </si>
  <si>
    <t>Can See 'Scheduled Maintenance' Menu Item</t>
  </si>
  <si>
    <t>Can See 'Task Groups' Menu Item</t>
  </si>
  <si>
    <t>Can See 'Projects' Menu Item</t>
  </si>
  <si>
    <t>Can See 'Notifications' Top Menu</t>
  </si>
  <si>
    <t>Can See 'Inbox' Menu Item</t>
  </si>
  <si>
    <t>Can See 'Sent' Menu Item</t>
  </si>
  <si>
    <t>Can See 'System Messages' Menu Item</t>
  </si>
  <si>
    <t>Can See 'Trash' Menu Item</t>
  </si>
  <si>
    <t>Can See 'Assets' Top Menu</t>
  </si>
  <si>
    <t>Can See 'All Assets' Menu Item</t>
  </si>
  <si>
    <t>Can See 'Facilities' Menu Item</t>
  </si>
  <si>
    <t>Can See 'Equipment' Menu Item</t>
  </si>
  <si>
    <t>Can See 'Tools' Menu Item</t>
  </si>
  <si>
    <t>Can See 'Supplies' Top Menu</t>
  </si>
  <si>
    <t>Can See 'Parts And Supplies' Menu Item</t>
  </si>
  <si>
    <t>Can See 'Current Stock' Menu Item</t>
  </si>
  <si>
    <t>Can See 'Batch Stock Adjustment' Menu Item</t>
  </si>
  <si>
    <t>Can See 'Inventory Cycle Count' Menu Item</t>
  </si>
  <si>
    <t>Can See 'Bill Of Materials Groups' Menu Item</t>
  </si>
  <si>
    <t>Can See 'Businesses' Menu Item</t>
  </si>
  <si>
    <t>Can See 'Purchasing' Top Menu</t>
  </si>
  <si>
    <t>Can See 'Purchase Planning Board' Menu Item</t>
  </si>
  <si>
    <t>Can See 'Purchase Orders' Menu Item</t>
  </si>
  <si>
    <t>Can See 'Receipts' Menu Item</t>
  </si>
  <si>
    <t>Can See 'RFQs' Menu Item</t>
  </si>
  <si>
    <t>Can See 'Reports' Top Menu</t>
  </si>
  <si>
    <t>Can See 'Reports' Menu Item</t>
  </si>
  <si>
    <t>PO status</t>
  </si>
  <si>
    <t>Draft</t>
  </si>
  <si>
    <t>Can Submit for Approval</t>
  </si>
  <si>
    <t>Can Send to Supplier</t>
  </si>
  <si>
    <t>Can Cancel Purchase Order</t>
  </si>
  <si>
    <t>Waiting for Approval</t>
  </si>
  <si>
    <t>Can Approve Purchase Order</t>
  </si>
  <si>
    <t>Can Reject Purchase Order</t>
  </si>
  <si>
    <t>Approved</t>
  </si>
  <si>
    <t>On Order</t>
  </si>
  <si>
    <t>Can Set to Order Not Fulfilled</t>
  </si>
  <si>
    <t>Order Fulfilled</t>
  </si>
  <si>
    <t>Can Back to Draft</t>
  </si>
  <si>
    <t>Order Not Fulfilled</t>
  </si>
  <si>
    <t>Fiix class</t>
  </si>
  <si>
    <t>Groups with any access</t>
  </si>
  <si>
    <t>Account</t>
  </si>
  <si>
    <t>AFCR</t>
  </si>
  <si>
    <t>F</t>
  </si>
  <si>
    <t>-</t>
  </si>
  <si>
    <t>AssetBusiness</t>
  </si>
  <si>
    <t>AFC</t>
  </si>
  <si>
    <t>AssetCategory</t>
  </si>
  <si>
    <t>AssetConsumingReference</t>
  </si>
  <si>
    <t>AssetEvent</t>
  </si>
  <si>
    <t>FC</t>
  </si>
  <si>
    <t>AssetEventType</t>
  </si>
  <si>
    <t>AssetEventTypeAsset</t>
  </si>
  <si>
    <t>AssetOfflineTracker</t>
  </si>
  <si>
    <t>AssetUser</t>
  </si>
  <si>
    <t>BillingTerm</t>
  </si>
  <si>
    <t>AFR</t>
  </si>
  <si>
    <t>BusinessClassification</t>
  </si>
  <si>
    <t>BusinessGroup</t>
  </si>
  <si>
    <t>BusinessRole</t>
  </si>
  <si>
    <t>CalendarEvent</t>
  </si>
  <si>
    <t>ChargeDepartment</t>
  </si>
  <si>
    <t>Country</t>
  </si>
  <si>
    <t>Currency</t>
  </si>
  <si>
    <t>CycleCount</t>
  </si>
  <si>
    <t>File</t>
  </si>
  <si>
    <t>FileContents</t>
  </si>
  <si>
    <t>FR</t>
  </si>
  <si>
    <t>MaintenanceType</t>
  </si>
  <si>
    <t>MeterReading</t>
  </si>
  <si>
    <t>MeterReadingUnit</t>
  </si>
  <si>
    <t>MoveAsset</t>
  </si>
  <si>
    <t>MoveBack</t>
  </si>
  <si>
    <t>MoveBackAsset</t>
  </si>
  <si>
    <t>MoveSiteManager</t>
  </si>
  <si>
    <t>MoveStatus</t>
  </si>
  <si>
    <t>Priority</t>
  </si>
  <si>
    <t>PurchaseOrder</t>
  </si>
  <si>
    <t>PurchaseOrderLineItem</t>
  </si>
  <si>
    <t>PurchaseOrderStatus</t>
  </si>
  <si>
    <t>RCAAction</t>
  </si>
  <si>
    <t>RCACause</t>
  </si>
  <si>
    <t>RCAGrouping</t>
  </si>
  <si>
    <t>RCAGroupingAction</t>
  </si>
  <si>
    <t>RCAGroupingCause</t>
  </si>
  <si>
    <t>RCAProblem</t>
  </si>
  <si>
    <t>ReasonToSetAssetOffline</t>
  </si>
  <si>
    <t>ReasonToSetAssetOnline</t>
  </si>
  <si>
    <t>ReceiptLineItem</t>
  </si>
  <si>
    <t>ReceiptStatus</t>
  </si>
  <si>
    <t>ReportsToResolved</t>
  </si>
  <si>
    <t>ScheduleTrigger</t>
  </si>
  <si>
    <t>ScheduledMaintenance</t>
  </si>
  <si>
    <t>ScheduledMaintenanceAsset</t>
  </si>
  <si>
    <t>ScheduledMaintenancePart</t>
  </si>
  <si>
    <t>ScheduledMaintenanceUser</t>
  </si>
  <si>
    <t>FCR</t>
  </si>
  <si>
    <t>ScheduledTask</t>
  </si>
  <si>
    <t>SiteUser</t>
  </si>
  <si>
    <t>SiteUserGroup</t>
  </si>
  <si>
    <t>StockCycleCount</t>
  </si>
  <si>
    <t>StockHistory</t>
  </si>
  <si>
    <t>StockTxType</t>
  </si>
  <si>
    <t>TaskGroup</t>
  </si>
  <si>
    <t>TaskResultValue</t>
  </si>
  <si>
    <t>Warranty</t>
  </si>
  <si>
    <t>WorkOrder</t>
  </si>
  <si>
    <t>WorkOrderAsset</t>
  </si>
  <si>
    <t>WorkOrderBusiness</t>
  </si>
  <si>
    <t>WorkOrderPart</t>
  </si>
  <si>
    <t>WorkOrderStatus</t>
  </si>
  <si>
    <t>WorkOrderTask</t>
  </si>
  <si>
    <t>WorkOrderUser</t>
  </si>
  <si>
    <t>Key</t>
  </si>
  <si>
    <t>A = Add (create)   F = Find (read)   C = Change (edit)   R = Remove (delete)   - = no access</t>
  </si>
  <si>
    <t>Guests have no API permissions. Green = full access, amber = partial, grey = none.</t>
  </si>
  <si>
    <t>Class names are the same values you pass as className in the Fiix API (see fiix-api/fiix_query.py).</t>
  </si>
  <si>
    <t>Area</t>
  </si>
  <si>
    <t>Requires</t>
  </si>
  <si>
    <t>How enforced</t>
  </si>
  <si>
    <t>Source article</t>
  </si>
  <si>
    <t>User management (v5)</t>
  </si>
  <si>
    <t>Feature: Open Settings &gt; Users and User Groups (view only)</t>
  </si>
  <si>
    <t>Users (page)</t>
  </si>
  <si>
    <t>Must also be granted</t>
  </si>
  <si>
    <t>Compare user management v5 and v6 features (v5 column, Access rows)</t>
  </si>
  <si>
    <t>Can see 'Settings' top menu (menu)</t>
  </si>
  <si>
    <t>Feature: Select visible elements on the user list</t>
  </si>
  <si>
    <t>User Interface Customization Settings (page)</t>
  </si>
  <si>
    <t>Feature: Export user list</t>
  </si>
  <si>
    <t>Feature: Import users from CSV</t>
  </si>
  <si>
    <t>Import Users From CSV File (page)</t>
  </si>
  <si>
    <t>Feature: Show last login date</t>
  </si>
  <si>
    <t>Feature: Localization</t>
  </si>
  <si>
    <t>Can see 'Localization' menu item (menu)</t>
  </si>
  <si>
    <t>Languages (page)</t>
  </si>
  <si>
    <t>Feature: Change user status</t>
  </si>
  <si>
    <t>User (page)</t>
  </si>
  <si>
    <t>User Status (page)</t>
  </si>
  <si>
    <t>User Increase Tenant Seats - UI handler (page)</t>
  </si>
  <si>
    <t>Assets (v5)</t>
  </si>
  <si>
    <t>Asset Business (page)</t>
  </si>
  <si>
    <t>Asset (page)</t>
  </si>
  <si>
    <t>Asset permissions (v5)</t>
  </si>
  <si>
    <t>Assets (page)</t>
  </si>
  <si>
    <t>Asset Categories (page)</t>
  </si>
  <si>
    <t>CMMS Settings (page)</t>
  </si>
  <si>
    <t>Asset Category (page)</t>
  </si>
  <si>
    <t>Asset Event (page)</t>
  </si>
  <si>
    <t>Asset Event Types (page)</t>
  </si>
  <si>
    <t>Asset Events History (page)</t>
  </si>
  <si>
    <t>Asset File (page)</t>
  </si>
  <si>
    <t>Asset Filter (page)</t>
  </si>
  <si>
    <t>Asset Parts Supplies (page)</t>
  </si>
  <si>
    <t>Asset Tag List (page)</t>
  </si>
  <si>
    <t>Assigned Assets (page)</t>
  </si>
  <si>
    <t>Can See 'Assigned Assets' (menu)</t>
  </si>
  <si>
    <t>Scheduled maintenance (v5)</t>
  </si>
  <si>
    <t>Scheduled Maintenance File (page)</t>
  </si>
  <si>
    <t>Scheduled Maintenance Details (page)</t>
  </si>
  <si>
    <t>Scheduled maintenance permissions (v5)</t>
  </si>
  <si>
    <t>Scheduled Maintenance Filter (page)</t>
  </si>
  <si>
    <t>Scheduled Maintenance List (page)</t>
  </si>
  <si>
    <t>Scheduled Maintenance Trigger (page)</t>
  </si>
  <si>
    <t>Scheduled Parts (page)</t>
  </si>
  <si>
    <t>Scheduled Task (page)</t>
  </si>
  <si>
    <t>Scheduled Trigger Change Threshold (page)</t>
  </si>
  <si>
    <t>Import Scheduled Maintenance (page)</t>
  </si>
  <si>
    <t>Can See Import Menu Item (menu)</t>
  </si>
  <si>
    <t>Import Task Groups (page)</t>
  </si>
  <si>
    <t>User management permissions (v5)</t>
  </si>
  <si>
    <t>General rule</t>
  </si>
  <si>
    <t>Any page permission</t>
  </si>
  <si>
    <t>Matching menu permission</t>
  </si>
  <si>
    <t>Both required</t>
  </si>
  <si>
    <t>Any menu permission</t>
  </si>
  <si>
    <t>Matching page permissions</t>
  </si>
  <si>
    <t>Matching menu and page permissions</t>
  </si>
  <si>
    <t>Settings &gt; Users and User groups screens</t>
  </si>
  <si>
    <t>Can See 'Settings' top menu, 'Users' menu item, 'User groups' menu item</t>
  </si>
  <si>
    <t>Mobile app / API access</t>
  </si>
  <si>
    <t>API permissions (Add / Find / Change / Remove per class)</t>
  </si>
  <si>
    <t>Permission (indented = depends on the one above)</t>
  </si>
  <si>
    <t>Also requires</t>
  </si>
  <si>
    <t>└─ Asset Event Types (page)</t>
  </si>
  <si>
    <t>└─ Asset Business (page)</t>
  </si>
  <si>
    <t>└─ Asset Categories (page)</t>
  </si>
  <si>
    <t>CMMS Settings (page); Asset (page)</t>
  </si>
  <si>
    <t>└─ Asset Category (page)</t>
  </si>
  <si>
    <t>└─ Asset Event (page)</t>
  </si>
  <si>
    <t>└─ Scheduled Maintenance Trigger (page)</t>
  </si>
  <si>
    <t>└─ Asset Events History (page)</t>
  </si>
  <si>
    <t>└─ Asset File (page)</t>
  </si>
  <si>
    <t>└─ Asset Filter (page)</t>
  </si>
  <si>
    <t>└─ Asset Parts Supplies (page)</t>
  </si>
  <si>
    <t>└─ Asset Tag List (page)</t>
  </si>
  <si>
    <t>└─ Assigned Assets (page)</t>
  </si>
  <si>
    <t>Can See 'Assigned Assets' (menu); Asset (page)</t>
  </si>
  <si>
    <t>└─ Scheduled Maintenance File (page)</t>
  </si>
  <si>
    <t>└─ Scheduled Parts (page)</t>
  </si>
  <si>
    <t>└─ Scheduled Task (page)</t>
  </si>
  <si>
    <t>└─ Scheduled Trigger Change Threshold (page)</t>
  </si>
  <si>
    <t>└─ Import Scheduled Maintenance (page)</t>
  </si>
  <si>
    <t>└─ Import Task Groups (page)</t>
  </si>
  <si>
    <t>└─ Scheduled Maintenance Filter (page)</t>
  </si>
  <si>
    <t>└─ Feature: Export user list</t>
  </si>
  <si>
    <t>└─ Feature: Import users from CSV</t>
  </si>
  <si>
    <t>Users (page); Import Users From CSV File (page)</t>
  </si>
  <si>
    <t>└─ Feature: Localization</t>
  </si>
  <si>
    <t>Can see 'Localization' menu item (menu); Languages (page)</t>
  </si>
  <si>
    <t>└─ Feature: Open Settings &gt; Users and User Groups (view only)</t>
  </si>
  <si>
    <t>└─ Feature: Select visible elements on the user list</t>
  </si>
  <si>
    <t>User Interface Customization Settings (page); Users (page)</t>
  </si>
  <si>
    <t>└─ Feature: Show last login date</t>
  </si>
  <si>
    <t>Users (page); User Interface Customization Settings (page)</t>
  </si>
  <si>
    <t>└─ User Status (page)</t>
  </si>
  <si>
    <t>└─ Feature: Change user status</t>
  </si>
  <si>
    <t>Can see 'Settings' top menu (menu); Users (page); User (page); User Increase Tenant Seats - UI handler (page)</t>
  </si>
  <si>
    <t>Type</t>
  </si>
  <si>
    <t>Page / permission</t>
  </si>
  <si>
    <t>Sub-permissions</t>
  </si>
  <si>
    <t>What it allows</t>
  </si>
  <si>
    <t>Prerequisites</t>
  </si>
  <si>
    <t>Work orders (v5)</t>
  </si>
  <si>
    <t>Menu</t>
  </si>
  <si>
    <t>Can see 'Maintenance' top menu item</t>
  </si>
  <si>
    <t>Allows users to see the Maintenance top menu item in the web app.</t>
  </si>
  <si>
    <t>Can see 'Work orders' menu item</t>
  </si>
  <si>
    <t>Allows the user to see Work orders menu item in the web app.</t>
  </si>
  <si>
    <t>Can see 'Task Groups' menu item</t>
  </si>
  <si>
    <t>Allows the user to see Task Groups menu item in the web app.</t>
  </si>
  <si>
    <t>Work Orders Administration</t>
  </si>
  <si>
    <t>Can Access Has 'Save' Button Has 'Print' Button Can see 'Work Log' Info Can toggle 'Requires Signature'</t>
  </si>
  <si>
    <t>Allows the user permissions to act as manager or administrator of work orders in the web app and mobile app. Users with this permission can access all work orders in the mobile app (not just their own) as long as they have an internet connection, and perform manager-level actions in work orders on both platforms. Best for: users who act as managers or administrators of work orders.</t>
  </si>
  <si>
    <t>Can Access Has 'New' Button Has 'Print' Button Has 'Edit' Menu Item Has 'Update/Close Work Order' Menu Item Has 'Delete' Button Has 'Import' Button</t>
  </si>
  <si>
    <t>Allows the user to see and update work orders in the web app and the mobile app.</t>
  </si>
  <si>
    <t>Work Order Assets</t>
  </si>
  <si>
    <t>Can Access Has 'New' Button Has 'Edit' Menu Button Has 'Print' Button Has 'Delete' Button Has 'Export' Button Has 'Import' Button</t>
  </si>
  <si>
    <t>Allows the user to add assets to work orders.</t>
  </si>
  <si>
    <t>Can Access the 'Work Order Business' Has 'Save' Button Has 'Print' Button Has 'Import' Button</t>
  </si>
  <si>
    <t>Allows the user to add businesses to work orders.</t>
  </si>
  <si>
    <t>Work Order Files</t>
  </si>
  <si>
    <t>Can Access Has 'Save' Button Has 'Print' Button Has 'Import' Button</t>
  </si>
  <si>
    <t>Allows the user to attach files to work orders.</t>
  </si>
  <si>
    <t>Work Order Filters</t>
  </si>
  <si>
    <t>Can Access Has 'New' Button Has 'Edit' Menu Item Has 'Print' Button Has 'Delete' Button Has 'Export' Button Has 'Import' Button</t>
  </si>
  <si>
    <t>Allows the user to filter the work order list on the web app.</t>
  </si>
  <si>
    <t>Can Access Has 'Save' Button Has 'Print' Button Has 'Import' Button Has 'Delete' Button</t>
  </si>
  <si>
    <t>Allows the user to add and remove parts from work orders.</t>
  </si>
  <si>
    <t>Work Order Status</t>
  </si>
  <si>
    <t>Allows the user to create new statuses, which can be assigned to work orders.</t>
  </si>
  <si>
    <t>Allows the user to add tasks to work orders.</t>
  </si>
  <si>
    <t>Allows the user to assign users to work orders. Best for: users who manage other users, and who will be assigning other users to work orders.</t>
  </si>
  <si>
    <t>Import Work Orders</t>
  </si>
  <si>
    <t>Allows the user to import work orders from a spreadsheet (Settings &gt; Import &gt; Import Work Orders).</t>
  </si>
  <si>
    <t>Add Labor to Task</t>
  </si>
  <si>
    <t>Allows the user to access Add Labor task completion notes window (Work order details page &gt; Labor Tasks tab).</t>
  </si>
  <si>
    <t>Add Task Group to WO</t>
  </si>
  <si>
    <t>Allows the user to add a task group to work orders.</t>
  </si>
  <si>
    <t>Can see 'Assets' top menu</t>
  </si>
  <si>
    <t>Allows users to see the Assets top menu item in the web app.</t>
  </si>
  <si>
    <t>Can see 'Facilities' menu item</t>
  </si>
  <si>
    <t>Allows the user to see the Facilities menu item in the web app.</t>
  </si>
  <si>
    <t>Can see 'Equipment' menu item</t>
  </si>
  <si>
    <t>Allows the user to see the Equipment menu item in the web app.</t>
  </si>
  <si>
    <t>Can see 'Tools' menu item</t>
  </si>
  <si>
    <t>Allows the user to see the Tools menu item in the web app.</t>
  </si>
  <si>
    <t>Can see 'CMMS Settings' menu item</t>
  </si>
  <si>
    <t>Allows the user to access CMMS Settings in the web app.</t>
  </si>
  <si>
    <t>Allows the user to see and edit individual assets and their detail pages, including setting the asset online or offline.</t>
  </si>
  <si>
    <t>Allows the user to access the list of assets.</t>
  </si>
  <si>
    <t>Allows the user to add businesses to assets under the Business tab of the asset details page.</t>
  </si>
  <si>
    <t>Asset (page); Assets (page)</t>
  </si>
  <si>
    <t>Allows the user to adjust how categories are organized in the asset hierarchy (which categories are parents and children of each other) and assign assets to categories in CMMS Settings &gt; Asset Categories tab.</t>
  </si>
  <si>
    <t>CMMS Settings (page); Asset (page); Assets (page)</t>
  </si>
  <si>
    <t>Allows the user to add new categories, edit asset category names, adjust category order in the hierarchy, and update barcode format for categories at CMMS Settings &gt; Asset Categories tab.</t>
  </si>
  <si>
    <t>Allows the user to add an asset event to an asset or a scheduled maintenance. Users with this permission can add asset events on the asset details page &gt; Metering/Events tab &gt; Most Recent Asset Events header &gt; Add button.</t>
  </si>
  <si>
    <t>Asset Event Types</t>
  </si>
  <si>
    <t>Expected behavior: Allows the user to add and edit event types at CMMS Settings &gt; Lookup tables tab &gt; Asset Event Types header.</t>
  </si>
  <si>
    <t>Allows the user to access the Asset Events History page, where the user can view and edit an asset's recorded asset events. To access the Asset Events History page, navigate to an asset details page &gt; Metering/Events tab &gt; Most Recent Asset Events header and click a recorded event.</t>
  </si>
  <si>
    <t>Can Access Has 'Save' Has 'Print' Button Has 'Import' Button</t>
  </si>
  <si>
    <t>Allows the user to add and edit files to assets. Users without this permission can still add basic files to assets, but they can't change the file type. Users with this permission can click on an added file (Asset &gt; Files tab) and change the file type, including add an asset default image.</t>
  </si>
  <si>
    <t>Asset Filter</t>
  </si>
  <si>
    <t>Expected behavior: Allows the user to use the list of filters on the asset list page, including adding and deleting the custom filters that are available to all users of the CMMS.</t>
  </si>
  <si>
    <t>Allows the user to add parts and supplies to an asset from the asset details page under the Parts/BOM tab.</t>
  </si>
  <si>
    <t>Asset Tag List</t>
  </si>
  <si>
    <t>Expected behavior: Allows the user to access the Print Asset Tag button on the assets list page to print labels for assets.</t>
  </si>
  <si>
    <t>Allows the user to access the Assigned Assets page, which shows assets assigned to the user and to their direct reports.</t>
  </si>
  <si>
    <t>Can See 'Assigned Assets' (menu); Asset (page); Assets (page)</t>
  </si>
  <si>
    <t>Import Asset Event Types</t>
  </si>
  <si>
    <t>Allows the user to bulk import asset event types (Settings &gt; Import &gt; Asset Event Types).</t>
  </si>
  <si>
    <t>Import Asset Events</t>
  </si>
  <si>
    <t>Allows the user to bulk import asset event types (Settings &gt; Import &gt; Asset Events).</t>
  </si>
  <si>
    <t>Import Assets</t>
  </si>
  <si>
    <t>Allows the user to bulk import assets (Settings &gt; Import &gt; Asset Events).</t>
  </si>
  <si>
    <t>Can see 'Maintenance' top menu</t>
  </si>
  <si>
    <t>Can see 'Scheduled Maintenance' menu item</t>
  </si>
  <si>
    <t>Allows the user to see the Scheduled Maintenance menu item in the web app.</t>
  </si>
  <si>
    <t>Allows the user to see the Task Groups menu item in the web app.</t>
  </si>
  <si>
    <t>Allows the user to view and edit individual scheduled maintenance detail pages.</t>
  </si>
  <si>
    <t>Allows the user to see the list of scheduled maintenance records in the Scheduled Maintenance List view.</t>
  </si>
  <si>
    <t>Schedule Maintenance Upcoming</t>
  </si>
  <si>
    <t>Expected behavior: Allows the user to see upcoming scheduled maintenance items in calendar.</t>
  </si>
  <si>
    <t>Expected behavior: Allows the user to add businesses to scheduled maintenance.</t>
  </si>
  <si>
    <t>Allows the user to attach links and notes to scheduled maintenance. Users without this permission can still add general files to scheduled maintenance, just not links or notes.</t>
  </si>
  <si>
    <t>Scheduled Maintenance Filter</t>
  </si>
  <si>
    <t>Expected behavior: Use and add to list of filters on SM list page.</t>
  </si>
  <si>
    <t>Allows the user to add and configure triggers (time, meter reading, and events) to scheduled maintenance (Scheduling tab).</t>
  </si>
  <si>
    <t>Asset Event (page); Scheduled Maintenance Details (page)</t>
  </si>
  <si>
    <t>Allows the user to add and configure parts on scheduled maintenance (Parts tab).</t>
  </si>
  <si>
    <t>Allows the user to add and configure tasks on scheduled maintenance (Tasks tab).</t>
  </si>
  <si>
    <t>Scheduled Trigger Change Threshold</t>
  </si>
  <si>
    <t>Allows the user to edit the next trigger threshold of meter triggers in the Scheduled Trigger Change Threshold dialog (Scheduling tab).</t>
  </si>
  <si>
    <t>Import Scheduled Maintenance</t>
  </si>
  <si>
    <t>Allows the user to bulk import scheduled maintenance from a file (Settings &gt; Import &gt; Scheduled Maintenance).</t>
  </si>
  <si>
    <t>Can See Import Menu Item (menu); Scheduled Maintenance List (page)</t>
  </si>
  <si>
    <t>Import Task Groups</t>
  </si>
  <si>
    <t>Allows the user to bulk import task groups from a file (Settings &gt; Import &gt; Task Groups).</t>
  </si>
  <si>
    <t>Can see 'Settings' top menu item</t>
  </si>
  <si>
    <t>Allows users to see the Settings menu item in the web app navigation menu. (Mandatory for basic user management actions.)</t>
  </si>
  <si>
    <t>Can see 'Users' menu item</t>
  </si>
  <si>
    <t>Allows the user to see and click on Users in the web app navigation menu. (Mandatory for basic user management actions.)</t>
  </si>
  <si>
    <t>Can see 'User groups' menu item</t>
  </si>
  <si>
    <t>Allows the user to see and click on User groups in the web app navigation menu. (Mandatory for basic user management actions.)</t>
  </si>
  <si>
    <t>Can Access Has 'Save' Button Has 'Print' Button Has 'Edit' Menu Item Has 'Import' Button</t>
  </si>
  <si>
    <t>Allows the user to see individual user records and user detail pages (Settings &gt; Users &gt; click a user to see their profile).</t>
  </si>
  <si>
    <t>Users</t>
  </si>
  <si>
    <t>Allows the user to see the user list page (Settings &gt; Users).</t>
  </si>
  <si>
    <t>Business Contact for User</t>
  </si>
  <si>
    <t>Allows the user to add business contacts to user details under the Business tab.</t>
  </si>
  <si>
    <t>Allows the user to add certifications, like safety or HAZMAT certificates, to user details under the Certifications tab.</t>
  </si>
  <si>
    <t>Allows the user to add files to user details under the Files tab.</t>
  </si>
  <si>
    <t>User Group</t>
  </si>
  <si>
    <t>Allows the user to see individual user group detail pages.</t>
  </si>
  <si>
    <t>User Groups</t>
  </si>
  <si>
    <t>Allows the user to see the user groups list page.</t>
  </si>
  <si>
    <t>User Increase Tenant Seats - UI handler</t>
  </si>
  <si>
    <t>This permission is defunct. It used to allow users to change the number of licenses available, which is now available only to Administrators through the Account Settings menu item.</t>
  </si>
  <si>
    <t>User Interface Customization Settings</t>
  </si>
  <si>
    <t>Can Access Has 'New' Button Has 'Save' Button Has 'Print' Button Has 'Import' Button</t>
  </si>
  <si>
    <t>Allows the user to see the User Interface Customization feature (Settings &gt; Security &amp; Infrastructure). Currently limited to blocking non-Admin users from changing the interface where that is possible.</t>
  </si>
  <si>
    <t>User Status</t>
  </si>
  <si>
    <t>Allows the user to change user statuses from Active to Inactive or vice versa using the status toggle on the user details page. This may affect billing and your number of available user licenses.</t>
  </si>
  <si>
    <t>NOT APPLICABLE TO A v5 TENANT. System roles and v6 work order permissions only exist in Fiix v6. Kept for reference in case you move to v6.</t>
  </si>
  <si>
    <t>Notes and prerequisites</t>
  </si>
  <si>
    <t>System roles (v6)</t>
  </si>
  <si>
    <t>View users</t>
  </si>
  <si>
    <t>See users, their account details, and their access control pages. Permission is view-only.</t>
  </si>
  <si>
    <t>System role permissions (v6 User management)</t>
  </si>
  <si>
    <t>View direct reports</t>
  </si>
  <si>
    <t>See account details of users that directly report to them only. Permission is view-only.</t>
  </si>
  <si>
    <t>Direct reports are users that have a manager assigned on their account details page. This permission gives view ability to the manager only, and they can only see their direct reports.</t>
  </si>
  <si>
    <t>View user groups</t>
  </si>
  <si>
    <t>See all user groups and user group details, including permissions. Permission is view-only.</t>
  </si>
  <si>
    <t>Does not include viewing the users assigned to the user groups.</t>
  </si>
  <si>
    <t>View system roles</t>
  </si>
  <si>
    <t>See all system roles and system role details, including permissions. Permission is view-only.</t>
  </si>
  <si>
    <t>Create users</t>
  </si>
  <si>
    <t>Make new, inactive user accounts. New users won't take up a paid license (seat) until activated. This permission does not give activation privileges.</t>
  </si>
  <si>
    <t>Checking this permission will automatically check View users.</t>
  </si>
  <si>
    <t>Create user groups</t>
  </si>
  <si>
    <t>Create new user groups and add descriptions. Can't edit user group permissions or assign users to the user group.</t>
  </si>
  <si>
    <t>Checking this permission will automatically check View user groups.</t>
  </si>
  <si>
    <t>Create system roles</t>
  </si>
  <si>
    <t>Create new system roles and add descriptions. Can't edit permissions or assign users to system roles.</t>
  </si>
  <si>
    <t>Checking this permission will automatically check View system roles.</t>
  </si>
  <si>
    <t>Edit users</t>
  </si>
  <si>
    <t>Make change to user details, including name, email address, and reset password. Assign users to user groups and system roles. In multi-site configurations: Add, edit, and manage regions, and assign users to regions and sites.</t>
  </si>
  <si>
    <t>Edit user status</t>
  </si>
  <si>
    <t>Change user statuses to active, passive, or deactivated. Activating a user may send an account activation email and requires a license (seat).</t>
  </si>
  <si>
    <t>Edit direct reports</t>
  </si>
  <si>
    <t>Make changes to user details, reset passwords, and deactivate their direct reports only.</t>
  </si>
  <si>
    <t>Direct reports are users that have a manager assigned on their account details page. This permission gives editing ability to the manager only, and they can only edit their direct reports. Checking this permission will automatically check View direct reports.</t>
  </si>
  <si>
    <t>Edit user groups</t>
  </si>
  <si>
    <t>Make changes to user group names, descriptions, and permissions.</t>
  </si>
  <si>
    <t>Does not include editing which users are assigned to user groups (requires Edit Users). Checking this permission will automatically check View user groups.</t>
  </si>
  <si>
    <t>Edit system roles</t>
  </si>
  <si>
    <t>Make changes to system role names, descriptions, and permissions.</t>
  </si>
  <si>
    <t>Does not include editing which users are assigned to the system role. Checking this permission will automatically check View system roles.</t>
  </si>
  <si>
    <t>Delete user groups</t>
  </si>
  <si>
    <t>Permanently delete user groups.</t>
  </si>
  <si>
    <t>Delete system roles</t>
  </si>
  <si>
    <t>Permanently delete system roles.</t>
  </si>
  <si>
    <t>Work orders (v6)</t>
  </si>
  <si>
    <t>View work orders and work order details</t>
  </si>
  <si>
    <t>See the work orders list in Maintenance &gt; Work Orders and view a work order's details (including the content of all tabs). Permission is view-only.</t>
  </si>
  <si>
    <t>Work orders permissions (v6)</t>
  </si>
  <si>
    <t>Create work orders</t>
  </si>
  <si>
    <t>Create new work orders in Maintenance &gt; Work Orders. This does not include editing work orders.</t>
  </si>
  <si>
    <t>Checking this permission will automatically check "View work orders and work order details".</t>
  </si>
  <si>
    <t>Create tasks</t>
  </si>
  <si>
    <t>Create tasks from within a work order. This does not include editing tasks.</t>
  </si>
  <si>
    <t>Edit work order details</t>
  </si>
  <si>
    <t>Make changes to all fields on a work order, except Assign to User and Suggested start date and time. This does not include creating new work orders.</t>
  </si>
  <si>
    <t>Edit task details</t>
  </si>
  <si>
    <t>Make changes to all fields in a task, except Assigned to and Suggested start date and time. This does not include creating new tasks.</t>
  </si>
  <si>
    <t>Assign users or user groups to work orders</t>
  </si>
  <si>
    <t>Edit the Assign to User field in the Summary tab of a work order.</t>
  </si>
  <si>
    <t>Checking this permission will automatically check "View work orders and work order details" and "Edit work order details".</t>
  </si>
  <si>
    <t>Assign users or user groups to tasks</t>
  </si>
  <si>
    <t>Use the Users slide-out panel accessible through the Actions menu &gt; Assign on tasks in the task list.</t>
  </si>
  <si>
    <t>Checking this permission will automatically check "View work orders and work order details" and "Edit task details".</t>
  </si>
  <si>
    <t>Set suggested start and completion dates for work orders</t>
  </si>
  <si>
    <t>Edit the Suggested start date and time field in the Summary tab of a work order.</t>
  </si>
  <si>
    <t>Set suggested start date for tasks</t>
  </si>
  <si>
    <t>Edit the Suggested start date and time field on a task's details through the Actions menu &gt; Edit.</t>
  </si>
  <si>
    <t>Delete work orders</t>
  </si>
  <si>
    <t>Delete any existing work orders.</t>
  </si>
  <si>
    <t>Delete tasks</t>
  </si>
  <si>
    <t>Delete any existing tasks on a work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</si>
</sst>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Calibri"/>
      <family val="2"/>
      <scheme val="minor"/>
    </font>
    <font>
      <b/>
      <sz val="14"/>
      <color rgb="FF1F3864"/>
      <name val="Arial"/>
    </font>
    <font>
      <i/>
      <sz val="10"/>
      <name val="Arial"/>
    </font>
    <font>
      <b/>
      <sz val="10"/>
      <name val="Arial"/>
    </font>
    <font>
      <sz val="10"/>
      <name val="Arial"/>
    </font>
    <font>
      <b/>
      <sz val="10"/>
      <color rgb="FFFFFFFF"/>
      <name val="Arial"/>
    </font>
    <font>
      <u/>
      <sz val="10"/>
      <color rgb="FF0563C1"/>
      <name val="Arial"/>
    </font>
    <font>
      <sz val="10"/>
      <color rgb="FFA6A6A6"/>
      <name val="Arial"/>
    </font>
    <font>
      <b/>
      <sz val="10"/>
      <color rgb="FF006100"/>
      <name val="Arial"/>
    </font>
    <font>
      <b/>
      <sz val="10"/>
      <color rgb="FF9C0006"/>
      <name val="Arial"/>
    </font>
    <font>
      <b/>
      <sz val="12"/>
      <color rgb="FF1F3864"/>
      <name val="Arial"/>
    </font>
    <font>
      <sz val="10"/>
      <color theme="1"/>
      <name val="Arial"/>
    </font>
  </fonts>
  <fills count="8">
    <fill>
      <patternFill patternType="none"/>
    </fill>
    <fill>
      <patternFill patternType="gray125"/>
    </fill>
    <fill>
      <patternFill patternType="solid">
        <fgColor rgb="FF1F3864"/>
      </patternFill>
    </fill>
    <fill>
      <patternFill patternType="solid">
        <fgColor rgb="FFC6EFCE"/>
      </patternFill>
    </fill>
    <fill>
      <patternFill patternType="solid">
        <fgColor rgb="FFFFEB9C"/>
      </patternFill>
    </fill>
    <fill>
      <patternFill patternType="solid">
        <fgColor rgb="FFF2F2F2"/>
      </patternFill>
    </fill>
    <fill>
      <patternFill patternType="solid">
        <fgColor rgb="FFDDEBF7"/>
      </patternFill>
    </fill>
    <fill>
      <patternFill patternType="solid">
        <fgColor rgb="FFFFC7CE"/>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1">
    <xf numFmtId="0" fontId="0" fillId="0" borderId="0" xfId="0"/>
    <xf numFmtId="0" fontId="1" fillId="0" borderId="0" xfId="0" applyFont="1"/>
    <xf numFmtId="0" fontId="2" fillId="0" borderId="0" xfId="0" applyFont="1"/>
    <xf numFmtId="0" fontId="3" fillId="0" borderId="0" xfId="0" applyFont="1" applyAlignment="1">
      <alignment vertical="top"/>
    </xf>
    <xf numFmtId="0" fontId="11" fillId="0" borderId="0" xfId="0" applyFont="1" applyAlignment="1">
      <alignment vertical="top" wrapText="1"/>
    </xf>
    <xf numFmtId="0" fontId="4" fillId="0" borderId="0" xfId="0" applyFont="1" applyAlignment="1">
      <alignment vertical="top"/>
    </xf>
    <xf numFmtId="0" fontId="3" fillId="0" borderId="0" xfId="0" applyFont="1"/>
    <xf numFmtId="0" fontId="5" fillId="2" borderId="1" xfId="0" applyFont="1" applyFill="1" applyBorder="1" applyAlignment="1">
      <alignment horizontal="center" vertical="center" wrapText="1"/>
    </xf>
    <xf numFmtId="0" fontId="6" fillId="0" borderId="0" xfId="0" applyFont="1"/>
    <xf numFmtId="0" fontId="3" fillId="0" borderId="1" xfId="0" applyFont="1" applyBorder="1"/>
    <xf numFmtId="0" fontId="11" fillId="0" borderId="1" xfId="0" applyFont="1" applyBorder="1" applyAlignment="1">
      <alignment horizontal="center" vertical="center"/>
    </xf>
    <xf numFmtId="164" fontId="11" fillId="0" borderId="1" xfId="0" applyNumberFormat="1" applyFont="1" applyBorder="1" applyAlignment="1">
      <alignment horizontal="center" vertical="center"/>
    </xf>
    <xf numFmtId="0" fontId="3" fillId="6" borderId="1" xfId="0" applyFont="1" applyFill="1" applyBorder="1"/>
    <xf numFmtId="0" fontId="3" fillId="6" borderId="1" xfId="0" applyFont="1" applyFill="1" applyBorder="1" applyAlignment="1">
      <alignment horizontal="center" vertical="center"/>
    </xf>
    <xf numFmtId="0" fontId="10" fillId="0" borderId="0" xfId="0" applyFont="1"/>
    <xf numFmtId="0" fontId="11" fillId="0" borderId="1" xfId="0" applyFont="1" applyBorder="1"/>
    <xf numFmtId="0" fontId="7" fillId="0" borderId="1" xfId="0" applyFont="1" applyBorder="1" applyAlignment="1">
      <alignment horizontal="center" vertical="center"/>
    </xf>
    <xf numFmtId="0" fontId="8" fillId="3" borderId="1" xfId="0" applyFont="1" applyFill="1" applyBorder="1" applyAlignment="1">
      <alignment horizontal="center" vertical="center"/>
    </xf>
    <xf numFmtId="0" fontId="11" fillId="4" borderId="1" xfId="0" applyFont="1" applyFill="1" applyBorder="1" applyAlignment="1">
      <alignment horizontal="center" vertical="center"/>
    </xf>
    <xf numFmtId="0" fontId="7" fillId="5" borderId="1" xfId="0" applyFont="1" applyFill="1" applyBorder="1" applyAlignment="1">
      <alignment horizontal="center" vertical="center"/>
    </xf>
    <xf numFmtId="0" fontId="11" fillId="0" borderId="0" xfId="0" applyFont="1"/>
    <xf numFmtId="0" fontId="11" fillId="0" borderId="1" xfId="0" applyFont="1" applyBorder="1" applyAlignment="1">
      <alignment vertical="top" wrapText="1"/>
    </xf>
    <xf numFmtId="0" fontId="6" fillId="0" borderId="1" xfId="0" applyFont="1" applyBorder="1" applyAlignment="1">
      <alignment vertical="top" wrapText="1"/>
    </xf>
    <xf numFmtId="0" fontId="11" fillId="6" borderId="1" xfId="0" applyFont="1" applyFill="1" applyBorder="1" applyAlignment="1">
      <alignment vertical="top" wrapText="1"/>
    </xf>
    <xf numFmtId="0" fontId="3" fillId="0" borderId="1" xfId="0" applyFont="1" applyBorder="1" applyAlignment="1">
      <alignment vertical="top"/>
    </xf>
    <xf numFmtId="0" fontId="0" fillId="0" borderId="1" xfId="0" applyBorder="1" applyAlignment="1">
      <alignment vertical="top" wrapText="1"/>
    </xf>
    <xf numFmtId="0" fontId="0" fillId="0" borderId="1" xfId="0" applyBorder="1"/>
    <xf numFmtId="0" fontId="11" fillId="0" borderId="1" xfId="0" applyFont="1" applyBorder="1" applyAlignment="1">
      <alignment vertical="top" indent="2"/>
    </xf>
    <xf numFmtId="0" fontId="11" fillId="0" borderId="1" xfId="0" applyFont="1" applyBorder="1" applyAlignment="1">
      <alignment vertical="top" indent="4"/>
    </xf>
    <xf numFmtId="0" fontId="9" fillId="7" borderId="0" xfId="0" applyFont="1" applyFill="1" applyAlignment="1">
      <alignment vertical="center"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helpdesk.fiixsoftware.com/hc/en-us/articles/360049317492-Default-user-group-permissions-purchasing" TargetMode="External"/><Relationship Id="rId13" Type="http://schemas.openxmlformats.org/officeDocument/2006/relationships/hyperlink" Target="https://helpdesk.fiixsoftware.com/hc/en-us/articles/41281346164244-User-management-permissions" TargetMode="External"/><Relationship Id="rId3" Type="http://schemas.openxmlformats.org/officeDocument/2006/relationships/hyperlink" Target="https://helpdesk.fiixsoftware.com/hc/en-us/articles/13012571221396-Which-version-of-User-Management-am-I-using" TargetMode="External"/><Relationship Id="rId7" Type="http://schemas.openxmlformats.org/officeDocument/2006/relationships/hyperlink" Target="https://helpdesk.fiixsoftware.com/hc/en-us/articles/360049707091-Default-user-group-permissions-menu-permissions" TargetMode="External"/><Relationship Id="rId12" Type="http://schemas.openxmlformats.org/officeDocument/2006/relationships/hyperlink" Target="https://helpdesk.fiixsoftware.com/hc/en-us/articles/42451817320340-Scheduled-maintenance-permissions" TargetMode="External"/><Relationship Id="rId2" Type="http://schemas.openxmlformats.org/officeDocument/2006/relationships/hyperlink" Target="https://helpdesk.fiixsoftware.com/hc/en-us/articles/18165584633876-About-default-user-groups" TargetMode="External"/><Relationship Id="rId16" Type="http://schemas.openxmlformats.org/officeDocument/2006/relationships/hyperlink" Target="https://helpdesk.fiixsoftware.com/hc/en-us/articles/27945783675924-Work-orders-permissions-v6" TargetMode="External"/><Relationship Id="rId1" Type="http://schemas.openxmlformats.org/officeDocument/2006/relationships/hyperlink" Target="https://helpdesk.fiixsoftware.com/hc/en-us/articles/360049317472-About-permissions" TargetMode="External"/><Relationship Id="rId6" Type="http://schemas.openxmlformats.org/officeDocument/2006/relationships/hyperlink" Target="https://helpdesk.fiixsoftware.com/hc/en-us/articles/360049275232-Default-user-group-permissions-page-permissions" TargetMode="External"/><Relationship Id="rId11" Type="http://schemas.openxmlformats.org/officeDocument/2006/relationships/hyperlink" Target="https://helpdesk.fiixsoftware.com/hc/en-us/articles/42176625317652-Asset-permissions" TargetMode="External"/><Relationship Id="rId5" Type="http://schemas.openxmlformats.org/officeDocument/2006/relationships/hyperlink" Target="https://helpdesk.fiixsoftware.com/hc/en-us/articles/21769760933652-Compare-user-management-v5-and-v6-features" TargetMode="External"/><Relationship Id="rId15" Type="http://schemas.openxmlformats.org/officeDocument/2006/relationships/hyperlink" Target="https://helpdesk.fiixsoftware.com/hc/en-us/articles/25255386559252-System-role-permissions" TargetMode="External"/><Relationship Id="rId10" Type="http://schemas.openxmlformats.org/officeDocument/2006/relationships/hyperlink" Target="https://helpdesk.fiixsoftware.com/hc/en-us/articles/40598772915988-Work-orders-permissions" TargetMode="External"/><Relationship Id="rId4" Type="http://schemas.openxmlformats.org/officeDocument/2006/relationships/hyperlink" Target="https://helpdesk.fiixsoftware.com/hc/en-us/articles/7884592276756-Which-version-of-Work-Orders-am-I-using" TargetMode="External"/><Relationship Id="rId9" Type="http://schemas.openxmlformats.org/officeDocument/2006/relationships/hyperlink" Target="https://helpdesk.fiixsoftware.com/hc/en-us/articles/360049795251-Default-user-group-permissions-API-permissions" TargetMode="External"/><Relationship Id="rId14" Type="http://schemas.openxmlformats.org/officeDocument/2006/relationships/hyperlink" Target="https://helpdesk.fiixsoftware.com/hc/en-us/sections/360010366012-Permission-library"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s://helpdesk.fiixsoftware.com/hc/en-us/articles/21769760933652-Compare-user-management-v5-and-v6-features" TargetMode="External"/><Relationship Id="rId18" Type="http://schemas.openxmlformats.org/officeDocument/2006/relationships/hyperlink" Target="https://helpdesk.fiixsoftware.com/hc/en-us/articles/21769760933652-Compare-user-management-v5-and-v6-features" TargetMode="External"/><Relationship Id="rId26" Type="http://schemas.openxmlformats.org/officeDocument/2006/relationships/hyperlink" Target="https://helpdesk.fiixsoftware.com/hc/en-us/articles/42176625317652-Asset-permissions" TargetMode="External"/><Relationship Id="rId39" Type="http://schemas.openxmlformats.org/officeDocument/2006/relationships/hyperlink" Target="https://helpdesk.fiixsoftware.com/hc/en-us/articles/42176625317652-Asset-permissions" TargetMode="External"/><Relationship Id="rId21" Type="http://schemas.openxmlformats.org/officeDocument/2006/relationships/hyperlink" Target="https://helpdesk.fiixsoftware.com/hc/en-us/articles/21769760933652-Compare-user-management-v5-and-v6-features" TargetMode="External"/><Relationship Id="rId34" Type="http://schemas.openxmlformats.org/officeDocument/2006/relationships/hyperlink" Target="https://helpdesk.fiixsoftware.com/hc/en-us/articles/42176625317652-Asset-permissions" TargetMode="External"/><Relationship Id="rId42" Type="http://schemas.openxmlformats.org/officeDocument/2006/relationships/hyperlink" Target="https://helpdesk.fiixsoftware.com/hc/en-us/articles/42176625317652-Asset-permissions" TargetMode="External"/><Relationship Id="rId47" Type="http://schemas.openxmlformats.org/officeDocument/2006/relationships/hyperlink" Target="https://helpdesk.fiixsoftware.com/hc/en-us/articles/42451817320340-Scheduled-maintenance-permissions" TargetMode="External"/><Relationship Id="rId50" Type="http://schemas.openxmlformats.org/officeDocument/2006/relationships/hyperlink" Target="https://helpdesk.fiixsoftware.com/hc/en-us/articles/42451817320340-Scheduled-maintenance-permissions" TargetMode="External"/><Relationship Id="rId55" Type="http://schemas.openxmlformats.org/officeDocument/2006/relationships/hyperlink" Target="https://helpdesk.fiixsoftware.com/hc/en-us/articles/42451817320340-Scheduled-maintenance-permissions" TargetMode="External"/><Relationship Id="rId7" Type="http://schemas.openxmlformats.org/officeDocument/2006/relationships/hyperlink" Target="https://helpdesk.fiixsoftware.com/hc/en-us/articles/21769760933652-Compare-user-management-v5-and-v6-features" TargetMode="External"/><Relationship Id="rId2" Type="http://schemas.openxmlformats.org/officeDocument/2006/relationships/hyperlink" Target="https://helpdesk.fiixsoftware.com/hc/en-us/articles/21769760933652-Compare-user-management-v5-and-v6-features" TargetMode="External"/><Relationship Id="rId16" Type="http://schemas.openxmlformats.org/officeDocument/2006/relationships/hyperlink" Target="https://helpdesk.fiixsoftware.com/hc/en-us/articles/21769760933652-Compare-user-management-v5-and-v6-features" TargetMode="External"/><Relationship Id="rId29" Type="http://schemas.openxmlformats.org/officeDocument/2006/relationships/hyperlink" Target="https://helpdesk.fiixsoftware.com/hc/en-us/articles/42176625317652-Asset-permissions" TargetMode="External"/><Relationship Id="rId11" Type="http://schemas.openxmlformats.org/officeDocument/2006/relationships/hyperlink" Target="https://helpdesk.fiixsoftware.com/hc/en-us/articles/21769760933652-Compare-user-management-v5-and-v6-features" TargetMode="External"/><Relationship Id="rId24" Type="http://schemas.openxmlformats.org/officeDocument/2006/relationships/hyperlink" Target="https://helpdesk.fiixsoftware.com/hc/en-us/articles/42176625317652-Asset-permissions" TargetMode="External"/><Relationship Id="rId32" Type="http://schemas.openxmlformats.org/officeDocument/2006/relationships/hyperlink" Target="https://helpdesk.fiixsoftware.com/hc/en-us/articles/42176625317652-Asset-permissions" TargetMode="External"/><Relationship Id="rId37" Type="http://schemas.openxmlformats.org/officeDocument/2006/relationships/hyperlink" Target="https://helpdesk.fiixsoftware.com/hc/en-us/articles/42176625317652-Asset-permissions" TargetMode="External"/><Relationship Id="rId40" Type="http://schemas.openxmlformats.org/officeDocument/2006/relationships/hyperlink" Target="https://helpdesk.fiixsoftware.com/hc/en-us/articles/42176625317652-Asset-permissions" TargetMode="External"/><Relationship Id="rId45" Type="http://schemas.openxmlformats.org/officeDocument/2006/relationships/hyperlink" Target="https://helpdesk.fiixsoftware.com/hc/en-us/articles/42176625317652-Asset-permissions" TargetMode="External"/><Relationship Id="rId53" Type="http://schemas.openxmlformats.org/officeDocument/2006/relationships/hyperlink" Target="https://helpdesk.fiixsoftware.com/hc/en-us/articles/42451817320340-Scheduled-maintenance-permissions" TargetMode="External"/><Relationship Id="rId58" Type="http://schemas.openxmlformats.org/officeDocument/2006/relationships/hyperlink" Target="https://helpdesk.fiixsoftware.com/hc/en-us/articles/360049317472-About-permissions" TargetMode="External"/><Relationship Id="rId5" Type="http://schemas.openxmlformats.org/officeDocument/2006/relationships/hyperlink" Target="https://helpdesk.fiixsoftware.com/hc/en-us/articles/21769760933652-Compare-user-management-v5-and-v6-features" TargetMode="External"/><Relationship Id="rId61" Type="http://schemas.openxmlformats.org/officeDocument/2006/relationships/hyperlink" Target="https://helpdesk.fiixsoftware.com/hc/en-us/articles/41281346164244-User-management-permissions" TargetMode="External"/><Relationship Id="rId19" Type="http://schemas.openxmlformats.org/officeDocument/2006/relationships/hyperlink" Target="https://helpdesk.fiixsoftware.com/hc/en-us/articles/21769760933652-Compare-user-management-v5-and-v6-features" TargetMode="External"/><Relationship Id="rId14" Type="http://schemas.openxmlformats.org/officeDocument/2006/relationships/hyperlink" Target="https://helpdesk.fiixsoftware.com/hc/en-us/articles/21769760933652-Compare-user-management-v5-and-v6-features" TargetMode="External"/><Relationship Id="rId22" Type="http://schemas.openxmlformats.org/officeDocument/2006/relationships/hyperlink" Target="https://helpdesk.fiixsoftware.com/hc/en-us/articles/42176625317652-Asset-permissions" TargetMode="External"/><Relationship Id="rId27" Type="http://schemas.openxmlformats.org/officeDocument/2006/relationships/hyperlink" Target="https://helpdesk.fiixsoftware.com/hc/en-us/articles/42176625317652-Asset-permissions" TargetMode="External"/><Relationship Id="rId30" Type="http://schemas.openxmlformats.org/officeDocument/2006/relationships/hyperlink" Target="https://helpdesk.fiixsoftware.com/hc/en-us/articles/42176625317652-Asset-permissions" TargetMode="External"/><Relationship Id="rId35" Type="http://schemas.openxmlformats.org/officeDocument/2006/relationships/hyperlink" Target="https://helpdesk.fiixsoftware.com/hc/en-us/articles/42176625317652-Asset-permissions" TargetMode="External"/><Relationship Id="rId43" Type="http://schemas.openxmlformats.org/officeDocument/2006/relationships/hyperlink" Target="https://helpdesk.fiixsoftware.com/hc/en-us/articles/42176625317652-Asset-permissions" TargetMode="External"/><Relationship Id="rId48" Type="http://schemas.openxmlformats.org/officeDocument/2006/relationships/hyperlink" Target="https://helpdesk.fiixsoftware.com/hc/en-us/articles/42451817320340-Scheduled-maintenance-permissions" TargetMode="External"/><Relationship Id="rId56" Type="http://schemas.openxmlformats.org/officeDocument/2006/relationships/hyperlink" Target="https://helpdesk.fiixsoftware.com/hc/en-us/articles/42451817320340-Scheduled-maintenance-permissions" TargetMode="External"/><Relationship Id="rId8" Type="http://schemas.openxmlformats.org/officeDocument/2006/relationships/hyperlink" Target="https://helpdesk.fiixsoftware.com/hc/en-us/articles/21769760933652-Compare-user-management-v5-and-v6-features" TargetMode="External"/><Relationship Id="rId51" Type="http://schemas.openxmlformats.org/officeDocument/2006/relationships/hyperlink" Target="https://helpdesk.fiixsoftware.com/hc/en-us/articles/42451817320340-Scheduled-maintenance-permissions" TargetMode="External"/><Relationship Id="rId3" Type="http://schemas.openxmlformats.org/officeDocument/2006/relationships/hyperlink" Target="https://helpdesk.fiixsoftware.com/hc/en-us/articles/21769760933652-Compare-user-management-v5-and-v6-features" TargetMode="External"/><Relationship Id="rId12" Type="http://schemas.openxmlformats.org/officeDocument/2006/relationships/hyperlink" Target="https://helpdesk.fiixsoftware.com/hc/en-us/articles/21769760933652-Compare-user-management-v5-and-v6-features" TargetMode="External"/><Relationship Id="rId17" Type="http://schemas.openxmlformats.org/officeDocument/2006/relationships/hyperlink" Target="https://helpdesk.fiixsoftware.com/hc/en-us/articles/21769760933652-Compare-user-management-v5-and-v6-features" TargetMode="External"/><Relationship Id="rId25" Type="http://schemas.openxmlformats.org/officeDocument/2006/relationships/hyperlink" Target="https://helpdesk.fiixsoftware.com/hc/en-us/articles/42176625317652-Asset-permissions" TargetMode="External"/><Relationship Id="rId33" Type="http://schemas.openxmlformats.org/officeDocument/2006/relationships/hyperlink" Target="https://helpdesk.fiixsoftware.com/hc/en-us/articles/42176625317652-Asset-permissions" TargetMode="External"/><Relationship Id="rId38" Type="http://schemas.openxmlformats.org/officeDocument/2006/relationships/hyperlink" Target="https://helpdesk.fiixsoftware.com/hc/en-us/articles/42176625317652-Asset-permissions" TargetMode="External"/><Relationship Id="rId46" Type="http://schemas.openxmlformats.org/officeDocument/2006/relationships/hyperlink" Target="https://helpdesk.fiixsoftware.com/hc/en-us/articles/42451817320340-Scheduled-maintenance-permissions" TargetMode="External"/><Relationship Id="rId59" Type="http://schemas.openxmlformats.org/officeDocument/2006/relationships/hyperlink" Target="https://helpdesk.fiixsoftware.com/hc/en-us/articles/360049317472-About-permissions" TargetMode="External"/><Relationship Id="rId20" Type="http://schemas.openxmlformats.org/officeDocument/2006/relationships/hyperlink" Target="https://helpdesk.fiixsoftware.com/hc/en-us/articles/21769760933652-Compare-user-management-v5-and-v6-features" TargetMode="External"/><Relationship Id="rId41" Type="http://schemas.openxmlformats.org/officeDocument/2006/relationships/hyperlink" Target="https://helpdesk.fiixsoftware.com/hc/en-us/articles/42176625317652-Asset-permissions" TargetMode="External"/><Relationship Id="rId54" Type="http://schemas.openxmlformats.org/officeDocument/2006/relationships/hyperlink" Target="https://helpdesk.fiixsoftware.com/hc/en-us/articles/42451817320340-Scheduled-maintenance-permissions" TargetMode="External"/><Relationship Id="rId62" Type="http://schemas.openxmlformats.org/officeDocument/2006/relationships/hyperlink" Target="https://helpdesk.fiixsoftware.com/hc/en-us/articles/360049317472-About-permissions" TargetMode="External"/><Relationship Id="rId1" Type="http://schemas.openxmlformats.org/officeDocument/2006/relationships/hyperlink" Target="https://helpdesk.fiixsoftware.com/hc/en-us/articles/21769760933652-Compare-user-management-v5-and-v6-features" TargetMode="External"/><Relationship Id="rId6" Type="http://schemas.openxmlformats.org/officeDocument/2006/relationships/hyperlink" Target="https://helpdesk.fiixsoftware.com/hc/en-us/articles/21769760933652-Compare-user-management-v5-and-v6-features" TargetMode="External"/><Relationship Id="rId15" Type="http://schemas.openxmlformats.org/officeDocument/2006/relationships/hyperlink" Target="https://helpdesk.fiixsoftware.com/hc/en-us/articles/21769760933652-Compare-user-management-v5-and-v6-features" TargetMode="External"/><Relationship Id="rId23" Type="http://schemas.openxmlformats.org/officeDocument/2006/relationships/hyperlink" Target="https://helpdesk.fiixsoftware.com/hc/en-us/articles/42176625317652-Asset-permissions" TargetMode="External"/><Relationship Id="rId28" Type="http://schemas.openxmlformats.org/officeDocument/2006/relationships/hyperlink" Target="https://helpdesk.fiixsoftware.com/hc/en-us/articles/42176625317652-Asset-permissions" TargetMode="External"/><Relationship Id="rId36" Type="http://schemas.openxmlformats.org/officeDocument/2006/relationships/hyperlink" Target="https://helpdesk.fiixsoftware.com/hc/en-us/articles/42176625317652-Asset-permissions" TargetMode="External"/><Relationship Id="rId49" Type="http://schemas.openxmlformats.org/officeDocument/2006/relationships/hyperlink" Target="https://helpdesk.fiixsoftware.com/hc/en-us/articles/42451817320340-Scheduled-maintenance-permissions" TargetMode="External"/><Relationship Id="rId57" Type="http://schemas.openxmlformats.org/officeDocument/2006/relationships/hyperlink" Target="https://helpdesk.fiixsoftware.com/hc/en-us/articles/41281346164244-User-management-permissions" TargetMode="External"/><Relationship Id="rId10" Type="http://schemas.openxmlformats.org/officeDocument/2006/relationships/hyperlink" Target="https://helpdesk.fiixsoftware.com/hc/en-us/articles/21769760933652-Compare-user-management-v5-and-v6-features" TargetMode="External"/><Relationship Id="rId31" Type="http://schemas.openxmlformats.org/officeDocument/2006/relationships/hyperlink" Target="https://helpdesk.fiixsoftware.com/hc/en-us/articles/42176625317652-Asset-permissions" TargetMode="External"/><Relationship Id="rId44" Type="http://schemas.openxmlformats.org/officeDocument/2006/relationships/hyperlink" Target="https://helpdesk.fiixsoftware.com/hc/en-us/articles/42176625317652-Asset-permissions" TargetMode="External"/><Relationship Id="rId52" Type="http://schemas.openxmlformats.org/officeDocument/2006/relationships/hyperlink" Target="https://helpdesk.fiixsoftware.com/hc/en-us/articles/42451817320340-Scheduled-maintenance-permissions" TargetMode="External"/><Relationship Id="rId60" Type="http://schemas.openxmlformats.org/officeDocument/2006/relationships/hyperlink" Target="https://helpdesk.fiixsoftware.com/hc/en-us/articles/360049317472-About-permissions" TargetMode="External"/><Relationship Id="rId4" Type="http://schemas.openxmlformats.org/officeDocument/2006/relationships/hyperlink" Target="https://helpdesk.fiixsoftware.com/hc/en-us/articles/21769760933652-Compare-user-management-v5-and-v6-features" TargetMode="External"/><Relationship Id="rId9" Type="http://schemas.openxmlformats.org/officeDocument/2006/relationships/hyperlink" Target="https://helpdesk.fiixsoftware.com/hc/en-us/articles/21769760933652-Compare-user-management-v5-and-v6-features" TargetMode="External"/></Relationships>
</file>

<file path=xl/worksheets/_rels/sheet9.xml.rels><?xml version="1.0" encoding="UTF-8" standalone="yes"?>
<Relationships xmlns="http://schemas.openxmlformats.org/package/2006/relationships"><Relationship Id="rId26" Type="http://schemas.openxmlformats.org/officeDocument/2006/relationships/hyperlink" Target="https://helpdesk.fiixsoftware.com/hc/en-us/articles/42176625317652-Asset-permissions" TargetMode="External"/><Relationship Id="rId21" Type="http://schemas.openxmlformats.org/officeDocument/2006/relationships/hyperlink" Target="https://helpdesk.fiixsoftware.com/hc/en-us/articles/42176625317652-Asset-permissions" TargetMode="External"/><Relationship Id="rId34" Type="http://schemas.openxmlformats.org/officeDocument/2006/relationships/hyperlink" Target="https://helpdesk.fiixsoftware.com/hc/en-us/articles/42176625317652-Asset-permissions" TargetMode="External"/><Relationship Id="rId42" Type="http://schemas.openxmlformats.org/officeDocument/2006/relationships/hyperlink" Target="https://helpdesk.fiixsoftware.com/hc/en-us/articles/42451817320340-Scheduled-maintenance-permissions" TargetMode="External"/><Relationship Id="rId47" Type="http://schemas.openxmlformats.org/officeDocument/2006/relationships/hyperlink" Target="https://helpdesk.fiixsoftware.com/hc/en-us/articles/42451817320340-Scheduled-maintenance-permissions" TargetMode="External"/><Relationship Id="rId50" Type="http://schemas.openxmlformats.org/officeDocument/2006/relationships/hyperlink" Target="https://helpdesk.fiixsoftware.com/hc/en-us/articles/42451817320340-Scheduled-maintenance-permissions" TargetMode="External"/><Relationship Id="rId55" Type="http://schemas.openxmlformats.org/officeDocument/2006/relationships/hyperlink" Target="https://helpdesk.fiixsoftware.com/hc/en-us/articles/41281346164244-User-management-permissions" TargetMode="External"/><Relationship Id="rId63" Type="http://schemas.openxmlformats.org/officeDocument/2006/relationships/hyperlink" Target="https://helpdesk.fiixsoftware.com/hc/en-us/articles/41281346164244-User-management-permissions" TargetMode="External"/><Relationship Id="rId7" Type="http://schemas.openxmlformats.org/officeDocument/2006/relationships/hyperlink" Target="https://helpdesk.fiixsoftware.com/hc/en-us/articles/40598772915988-Work-orders-permissions" TargetMode="External"/><Relationship Id="rId2" Type="http://schemas.openxmlformats.org/officeDocument/2006/relationships/hyperlink" Target="https://helpdesk.fiixsoftware.com/hc/en-us/articles/40598772915988-Work-orders-permissions" TargetMode="External"/><Relationship Id="rId16" Type="http://schemas.openxmlformats.org/officeDocument/2006/relationships/hyperlink" Target="https://helpdesk.fiixsoftware.com/hc/en-us/articles/40598772915988-Work-orders-permissions" TargetMode="External"/><Relationship Id="rId29" Type="http://schemas.openxmlformats.org/officeDocument/2006/relationships/hyperlink" Target="https://helpdesk.fiixsoftware.com/hc/en-us/articles/42176625317652-Asset-permissions" TargetMode="External"/><Relationship Id="rId11" Type="http://schemas.openxmlformats.org/officeDocument/2006/relationships/hyperlink" Target="https://helpdesk.fiixsoftware.com/hc/en-us/articles/40598772915988-Work-orders-permissions" TargetMode="External"/><Relationship Id="rId24" Type="http://schemas.openxmlformats.org/officeDocument/2006/relationships/hyperlink" Target="https://helpdesk.fiixsoftware.com/hc/en-us/articles/42176625317652-Asset-permissions" TargetMode="External"/><Relationship Id="rId32" Type="http://schemas.openxmlformats.org/officeDocument/2006/relationships/hyperlink" Target="https://helpdesk.fiixsoftware.com/hc/en-us/articles/42176625317652-Asset-permissions" TargetMode="External"/><Relationship Id="rId37" Type="http://schemas.openxmlformats.org/officeDocument/2006/relationships/hyperlink" Target="https://helpdesk.fiixsoftware.com/hc/en-us/articles/42176625317652-Asset-permissions" TargetMode="External"/><Relationship Id="rId40" Type="http://schemas.openxmlformats.org/officeDocument/2006/relationships/hyperlink" Target="https://helpdesk.fiixsoftware.com/hc/en-us/articles/42451817320340-Scheduled-maintenance-permissions" TargetMode="External"/><Relationship Id="rId45" Type="http://schemas.openxmlformats.org/officeDocument/2006/relationships/hyperlink" Target="https://helpdesk.fiixsoftware.com/hc/en-us/articles/42451817320340-Scheduled-maintenance-permissions" TargetMode="External"/><Relationship Id="rId53" Type="http://schemas.openxmlformats.org/officeDocument/2006/relationships/hyperlink" Target="https://helpdesk.fiixsoftware.com/hc/en-us/articles/41281346164244-User-management-permissions" TargetMode="External"/><Relationship Id="rId58" Type="http://schemas.openxmlformats.org/officeDocument/2006/relationships/hyperlink" Target="https://helpdesk.fiixsoftware.com/hc/en-us/articles/41281346164244-User-management-permissions" TargetMode="External"/><Relationship Id="rId5" Type="http://schemas.openxmlformats.org/officeDocument/2006/relationships/hyperlink" Target="https://helpdesk.fiixsoftware.com/hc/en-us/articles/40598772915988-Work-orders-permissions" TargetMode="External"/><Relationship Id="rId61" Type="http://schemas.openxmlformats.org/officeDocument/2006/relationships/hyperlink" Target="https://helpdesk.fiixsoftware.com/hc/en-us/articles/41281346164244-User-management-permissions" TargetMode="External"/><Relationship Id="rId19" Type="http://schemas.openxmlformats.org/officeDocument/2006/relationships/hyperlink" Target="https://helpdesk.fiixsoftware.com/hc/en-us/articles/42176625317652-Asset-permissions" TargetMode="External"/><Relationship Id="rId14" Type="http://schemas.openxmlformats.org/officeDocument/2006/relationships/hyperlink" Target="https://helpdesk.fiixsoftware.com/hc/en-us/articles/40598772915988-Work-orders-permissions" TargetMode="External"/><Relationship Id="rId22" Type="http://schemas.openxmlformats.org/officeDocument/2006/relationships/hyperlink" Target="https://helpdesk.fiixsoftware.com/hc/en-us/articles/42176625317652-Asset-permissions" TargetMode="External"/><Relationship Id="rId27" Type="http://schemas.openxmlformats.org/officeDocument/2006/relationships/hyperlink" Target="https://helpdesk.fiixsoftware.com/hc/en-us/articles/42176625317652-Asset-permissions" TargetMode="External"/><Relationship Id="rId30" Type="http://schemas.openxmlformats.org/officeDocument/2006/relationships/hyperlink" Target="https://helpdesk.fiixsoftware.com/hc/en-us/articles/42176625317652-Asset-permissions" TargetMode="External"/><Relationship Id="rId35" Type="http://schemas.openxmlformats.org/officeDocument/2006/relationships/hyperlink" Target="https://helpdesk.fiixsoftware.com/hc/en-us/articles/42176625317652-Asset-permissions" TargetMode="External"/><Relationship Id="rId43" Type="http://schemas.openxmlformats.org/officeDocument/2006/relationships/hyperlink" Target="https://helpdesk.fiixsoftware.com/hc/en-us/articles/42451817320340-Scheduled-maintenance-permissions" TargetMode="External"/><Relationship Id="rId48" Type="http://schemas.openxmlformats.org/officeDocument/2006/relationships/hyperlink" Target="https://helpdesk.fiixsoftware.com/hc/en-us/articles/42451817320340-Scheduled-maintenance-permissions" TargetMode="External"/><Relationship Id="rId56" Type="http://schemas.openxmlformats.org/officeDocument/2006/relationships/hyperlink" Target="https://helpdesk.fiixsoftware.com/hc/en-us/articles/41281346164244-User-management-permissions" TargetMode="External"/><Relationship Id="rId64" Type="http://schemas.openxmlformats.org/officeDocument/2006/relationships/hyperlink" Target="https://helpdesk.fiixsoftware.com/hc/en-us/articles/41281346164244-User-management-permissions" TargetMode="External"/><Relationship Id="rId8" Type="http://schemas.openxmlformats.org/officeDocument/2006/relationships/hyperlink" Target="https://helpdesk.fiixsoftware.com/hc/en-us/articles/40598772915988-Work-orders-permissions" TargetMode="External"/><Relationship Id="rId51" Type="http://schemas.openxmlformats.org/officeDocument/2006/relationships/hyperlink" Target="https://helpdesk.fiixsoftware.com/hc/en-us/articles/42451817320340-Scheduled-maintenance-permissions" TargetMode="External"/><Relationship Id="rId3" Type="http://schemas.openxmlformats.org/officeDocument/2006/relationships/hyperlink" Target="https://helpdesk.fiixsoftware.com/hc/en-us/articles/40598772915988-Work-orders-permissions" TargetMode="External"/><Relationship Id="rId12" Type="http://schemas.openxmlformats.org/officeDocument/2006/relationships/hyperlink" Target="https://helpdesk.fiixsoftware.com/hc/en-us/articles/40598772915988-Work-orders-permissions" TargetMode="External"/><Relationship Id="rId17" Type="http://schemas.openxmlformats.org/officeDocument/2006/relationships/hyperlink" Target="https://helpdesk.fiixsoftware.com/hc/en-us/articles/42176625317652-Asset-permissions" TargetMode="External"/><Relationship Id="rId25" Type="http://schemas.openxmlformats.org/officeDocument/2006/relationships/hyperlink" Target="https://helpdesk.fiixsoftware.com/hc/en-us/articles/42176625317652-Asset-permissions" TargetMode="External"/><Relationship Id="rId33" Type="http://schemas.openxmlformats.org/officeDocument/2006/relationships/hyperlink" Target="https://helpdesk.fiixsoftware.com/hc/en-us/articles/42176625317652-Asset-permissions" TargetMode="External"/><Relationship Id="rId38" Type="http://schemas.openxmlformats.org/officeDocument/2006/relationships/hyperlink" Target="https://helpdesk.fiixsoftware.com/hc/en-us/articles/42451817320340-Scheduled-maintenance-permissions" TargetMode="External"/><Relationship Id="rId46" Type="http://schemas.openxmlformats.org/officeDocument/2006/relationships/hyperlink" Target="https://helpdesk.fiixsoftware.com/hc/en-us/articles/42451817320340-Scheduled-maintenance-permissions" TargetMode="External"/><Relationship Id="rId59" Type="http://schemas.openxmlformats.org/officeDocument/2006/relationships/hyperlink" Target="https://helpdesk.fiixsoftware.com/hc/en-us/articles/41281346164244-User-management-permissions" TargetMode="External"/><Relationship Id="rId20" Type="http://schemas.openxmlformats.org/officeDocument/2006/relationships/hyperlink" Target="https://helpdesk.fiixsoftware.com/hc/en-us/articles/42176625317652-Asset-permissions" TargetMode="External"/><Relationship Id="rId41" Type="http://schemas.openxmlformats.org/officeDocument/2006/relationships/hyperlink" Target="https://helpdesk.fiixsoftware.com/hc/en-us/articles/42451817320340-Scheduled-maintenance-permissions" TargetMode="External"/><Relationship Id="rId54" Type="http://schemas.openxmlformats.org/officeDocument/2006/relationships/hyperlink" Target="https://helpdesk.fiixsoftware.com/hc/en-us/articles/41281346164244-User-management-permissions" TargetMode="External"/><Relationship Id="rId62" Type="http://schemas.openxmlformats.org/officeDocument/2006/relationships/hyperlink" Target="https://helpdesk.fiixsoftware.com/hc/en-us/articles/41281346164244-User-management-permissions" TargetMode="External"/><Relationship Id="rId1" Type="http://schemas.openxmlformats.org/officeDocument/2006/relationships/hyperlink" Target="https://helpdesk.fiixsoftware.com/hc/en-us/articles/40598772915988-Work-orders-permissions" TargetMode="External"/><Relationship Id="rId6" Type="http://schemas.openxmlformats.org/officeDocument/2006/relationships/hyperlink" Target="https://helpdesk.fiixsoftware.com/hc/en-us/articles/40598772915988-Work-orders-permissions" TargetMode="External"/><Relationship Id="rId15" Type="http://schemas.openxmlformats.org/officeDocument/2006/relationships/hyperlink" Target="https://helpdesk.fiixsoftware.com/hc/en-us/articles/40598772915988-Work-orders-permissions" TargetMode="External"/><Relationship Id="rId23" Type="http://schemas.openxmlformats.org/officeDocument/2006/relationships/hyperlink" Target="https://helpdesk.fiixsoftware.com/hc/en-us/articles/42176625317652-Asset-permissions" TargetMode="External"/><Relationship Id="rId28" Type="http://schemas.openxmlformats.org/officeDocument/2006/relationships/hyperlink" Target="https://helpdesk.fiixsoftware.com/hc/en-us/articles/42176625317652-Asset-permissions" TargetMode="External"/><Relationship Id="rId36" Type="http://schemas.openxmlformats.org/officeDocument/2006/relationships/hyperlink" Target="https://helpdesk.fiixsoftware.com/hc/en-us/articles/42176625317652-Asset-permissions" TargetMode="External"/><Relationship Id="rId49" Type="http://schemas.openxmlformats.org/officeDocument/2006/relationships/hyperlink" Target="https://helpdesk.fiixsoftware.com/hc/en-us/articles/42451817320340-Scheduled-maintenance-permissions" TargetMode="External"/><Relationship Id="rId57" Type="http://schemas.openxmlformats.org/officeDocument/2006/relationships/hyperlink" Target="https://helpdesk.fiixsoftware.com/hc/en-us/articles/41281346164244-User-management-permissions" TargetMode="External"/><Relationship Id="rId10" Type="http://schemas.openxmlformats.org/officeDocument/2006/relationships/hyperlink" Target="https://helpdesk.fiixsoftware.com/hc/en-us/articles/40598772915988-Work-orders-permissions" TargetMode="External"/><Relationship Id="rId31" Type="http://schemas.openxmlformats.org/officeDocument/2006/relationships/hyperlink" Target="https://helpdesk.fiixsoftware.com/hc/en-us/articles/42176625317652-Asset-permissions" TargetMode="External"/><Relationship Id="rId44" Type="http://schemas.openxmlformats.org/officeDocument/2006/relationships/hyperlink" Target="https://helpdesk.fiixsoftware.com/hc/en-us/articles/42451817320340-Scheduled-maintenance-permissions" TargetMode="External"/><Relationship Id="rId52" Type="http://schemas.openxmlformats.org/officeDocument/2006/relationships/hyperlink" Target="https://helpdesk.fiixsoftware.com/hc/en-us/articles/42451817320340-Scheduled-maintenance-permissions" TargetMode="External"/><Relationship Id="rId60" Type="http://schemas.openxmlformats.org/officeDocument/2006/relationships/hyperlink" Target="https://helpdesk.fiixsoftware.com/hc/en-us/articles/41281346164244-User-management-permissions" TargetMode="External"/><Relationship Id="rId65" Type="http://schemas.openxmlformats.org/officeDocument/2006/relationships/hyperlink" Target="https://helpdesk.fiixsoftware.com/hc/en-us/articles/41281346164244-User-management-permissions" TargetMode="External"/><Relationship Id="rId4" Type="http://schemas.openxmlformats.org/officeDocument/2006/relationships/hyperlink" Target="https://helpdesk.fiixsoftware.com/hc/en-us/articles/40598772915988-Work-orders-permissions" TargetMode="External"/><Relationship Id="rId9" Type="http://schemas.openxmlformats.org/officeDocument/2006/relationships/hyperlink" Target="https://helpdesk.fiixsoftware.com/hc/en-us/articles/40598772915988-Work-orders-permissions" TargetMode="External"/><Relationship Id="rId13" Type="http://schemas.openxmlformats.org/officeDocument/2006/relationships/hyperlink" Target="https://helpdesk.fiixsoftware.com/hc/en-us/articles/40598772915988-Work-orders-permissions" TargetMode="External"/><Relationship Id="rId18" Type="http://schemas.openxmlformats.org/officeDocument/2006/relationships/hyperlink" Target="https://helpdesk.fiixsoftware.com/hc/en-us/articles/42176625317652-Asset-permissions" TargetMode="External"/><Relationship Id="rId39" Type="http://schemas.openxmlformats.org/officeDocument/2006/relationships/hyperlink" Target="https://helpdesk.fiixsoftware.com/hc/en-us/articles/42451817320340-Scheduled-maintenance-permissions"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helpdesk.fiixsoftware.com/hc/en-us/articles/25255386559252-System-role-permissions" TargetMode="External"/><Relationship Id="rId13" Type="http://schemas.openxmlformats.org/officeDocument/2006/relationships/hyperlink" Target="https://helpdesk.fiixsoftware.com/hc/en-us/articles/25255386559252-System-role-permissions" TargetMode="External"/><Relationship Id="rId18" Type="http://schemas.openxmlformats.org/officeDocument/2006/relationships/hyperlink" Target="https://helpdesk.fiixsoftware.com/hc/en-us/articles/27945783675924-Work-orders-permissions-v6" TargetMode="External"/><Relationship Id="rId3" Type="http://schemas.openxmlformats.org/officeDocument/2006/relationships/hyperlink" Target="https://helpdesk.fiixsoftware.com/hc/en-us/articles/25255386559252-System-role-permissions" TargetMode="External"/><Relationship Id="rId21" Type="http://schemas.openxmlformats.org/officeDocument/2006/relationships/hyperlink" Target="https://helpdesk.fiixsoftware.com/hc/en-us/articles/27945783675924-Work-orders-permissions-v6" TargetMode="External"/><Relationship Id="rId7" Type="http://schemas.openxmlformats.org/officeDocument/2006/relationships/hyperlink" Target="https://helpdesk.fiixsoftware.com/hc/en-us/articles/25255386559252-System-role-permissions" TargetMode="External"/><Relationship Id="rId12" Type="http://schemas.openxmlformats.org/officeDocument/2006/relationships/hyperlink" Target="https://helpdesk.fiixsoftware.com/hc/en-us/articles/25255386559252-System-role-permissions" TargetMode="External"/><Relationship Id="rId17" Type="http://schemas.openxmlformats.org/officeDocument/2006/relationships/hyperlink" Target="https://helpdesk.fiixsoftware.com/hc/en-us/articles/27945783675924-Work-orders-permissions-v6" TargetMode="External"/><Relationship Id="rId25" Type="http://schemas.openxmlformats.org/officeDocument/2006/relationships/hyperlink" Target="https://helpdesk.fiixsoftware.com/hc/en-us/articles/27945783675924-Work-orders-permissions-v6" TargetMode="External"/><Relationship Id="rId2" Type="http://schemas.openxmlformats.org/officeDocument/2006/relationships/hyperlink" Target="https://helpdesk.fiixsoftware.com/hc/en-us/articles/25255386559252-System-role-permissions" TargetMode="External"/><Relationship Id="rId16" Type="http://schemas.openxmlformats.org/officeDocument/2006/relationships/hyperlink" Target="https://helpdesk.fiixsoftware.com/hc/en-us/articles/27945783675924-Work-orders-permissions-v6" TargetMode="External"/><Relationship Id="rId20" Type="http://schemas.openxmlformats.org/officeDocument/2006/relationships/hyperlink" Target="https://helpdesk.fiixsoftware.com/hc/en-us/articles/27945783675924-Work-orders-permissions-v6" TargetMode="External"/><Relationship Id="rId1" Type="http://schemas.openxmlformats.org/officeDocument/2006/relationships/hyperlink" Target="https://helpdesk.fiixsoftware.com/hc/en-us/articles/25255386559252-System-role-permissions" TargetMode="External"/><Relationship Id="rId6" Type="http://schemas.openxmlformats.org/officeDocument/2006/relationships/hyperlink" Target="https://helpdesk.fiixsoftware.com/hc/en-us/articles/25255386559252-System-role-permissions" TargetMode="External"/><Relationship Id="rId11" Type="http://schemas.openxmlformats.org/officeDocument/2006/relationships/hyperlink" Target="https://helpdesk.fiixsoftware.com/hc/en-us/articles/25255386559252-System-role-permissions" TargetMode="External"/><Relationship Id="rId24" Type="http://schemas.openxmlformats.org/officeDocument/2006/relationships/hyperlink" Target="https://helpdesk.fiixsoftware.com/hc/en-us/articles/27945783675924-Work-orders-permissions-v6" TargetMode="External"/><Relationship Id="rId5" Type="http://schemas.openxmlformats.org/officeDocument/2006/relationships/hyperlink" Target="https://helpdesk.fiixsoftware.com/hc/en-us/articles/25255386559252-System-role-permissions" TargetMode="External"/><Relationship Id="rId15" Type="http://schemas.openxmlformats.org/officeDocument/2006/relationships/hyperlink" Target="https://helpdesk.fiixsoftware.com/hc/en-us/articles/27945783675924-Work-orders-permissions-v6" TargetMode="External"/><Relationship Id="rId23" Type="http://schemas.openxmlformats.org/officeDocument/2006/relationships/hyperlink" Target="https://helpdesk.fiixsoftware.com/hc/en-us/articles/27945783675924-Work-orders-permissions-v6" TargetMode="External"/><Relationship Id="rId10" Type="http://schemas.openxmlformats.org/officeDocument/2006/relationships/hyperlink" Target="https://helpdesk.fiixsoftware.com/hc/en-us/articles/25255386559252-System-role-permissions" TargetMode="External"/><Relationship Id="rId19" Type="http://schemas.openxmlformats.org/officeDocument/2006/relationships/hyperlink" Target="https://helpdesk.fiixsoftware.com/hc/en-us/articles/27945783675924-Work-orders-permissions-v6" TargetMode="External"/><Relationship Id="rId4" Type="http://schemas.openxmlformats.org/officeDocument/2006/relationships/hyperlink" Target="https://helpdesk.fiixsoftware.com/hc/en-us/articles/25255386559252-System-role-permissions" TargetMode="External"/><Relationship Id="rId9" Type="http://schemas.openxmlformats.org/officeDocument/2006/relationships/hyperlink" Target="https://helpdesk.fiixsoftware.com/hc/en-us/articles/25255386559252-System-role-permissions" TargetMode="External"/><Relationship Id="rId14" Type="http://schemas.openxmlformats.org/officeDocument/2006/relationships/hyperlink" Target="https://helpdesk.fiixsoftware.com/hc/en-us/articles/25255386559252-System-role-permissions" TargetMode="External"/><Relationship Id="rId22" Type="http://schemas.openxmlformats.org/officeDocument/2006/relationships/hyperlink" Target="https://helpdesk.fiixsoftware.com/hc/en-us/articles/27945783675924-Work-orders-permissions-v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6"/>
  <sheetViews>
    <sheetView showGridLines="0" tabSelected="1" workbookViewId="0"/>
  </sheetViews>
  <sheetFormatPr defaultRowHeight="14.5" x14ac:dyDescent="0.35"/>
  <cols>
    <col min="1" max="1" width="30" customWidth="1"/>
    <col min="2" max="2" width="110" customWidth="1"/>
  </cols>
  <sheetData>
    <row r="1" spans="1:2" ht="18" x14ac:dyDescent="0.4">
      <c r="A1" s="1" t="s">
        <v>0</v>
      </c>
    </row>
    <row r="2" spans="1:2" x14ac:dyDescent="0.35">
      <c r="A2" s="2" t="s">
        <v>1</v>
      </c>
    </row>
    <row r="4" spans="1:2" ht="37.5" x14ac:dyDescent="0.35">
      <c r="A4" s="3" t="s">
        <v>2</v>
      </c>
      <c r="B4" s="4" t="s">
        <v>3</v>
      </c>
    </row>
    <row r="5" spans="1:2" ht="25" x14ac:dyDescent="0.35">
      <c r="A5" s="3" t="s">
        <v>4</v>
      </c>
      <c r="B5" s="4" t="s">
        <v>5</v>
      </c>
    </row>
    <row r="6" spans="1:2" ht="25" x14ac:dyDescent="0.35">
      <c r="A6" s="3" t="s">
        <v>6</v>
      </c>
      <c r="B6" s="4" t="s">
        <v>7</v>
      </c>
    </row>
    <row r="7" spans="1:2" ht="25" x14ac:dyDescent="0.35">
      <c r="A7" s="3" t="s">
        <v>8</v>
      </c>
      <c r="B7" s="4" t="s">
        <v>9</v>
      </c>
    </row>
    <row r="8" spans="1:2" x14ac:dyDescent="0.35">
      <c r="A8" s="3" t="s">
        <v>10</v>
      </c>
      <c r="B8" s="4"/>
    </row>
    <row r="9" spans="1:2" x14ac:dyDescent="0.35">
      <c r="A9" s="5" t="s">
        <v>11</v>
      </c>
      <c r="B9" s="4" t="s">
        <v>12</v>
      </c>
    </row>
    <row r="10" spans="1:2" x14ac:dyDescent="0.35">
      <c r="A10" s="5" t="s">
        <v>13</v>
      </c>
      <c r="B10" s="4" t="s">
        <v>14</v>
      </c>
    </row>
    <row r="11" spans="1:2" x14ac:dyDescent="0.35">
      <c r="A11" s="5" t="s">
        <v>15</v>
      </c>
      <c r="B11" s="4" t="s">
        <v>16</v>
      </c>
    </row>
    <row r="12" spans="1:2" x14ac:dyDescent="0.35">
      <c r="A12" s="5" t="s">
        <v>17</v>
      </c>
      <c r="B12" s="4" t="s">
        <v>18</v>
      </c>
    </row>
    <row r="13" spans="1:2" x14ac:dyDescent="0.35">
      <c r="A13" s="5" t="s">
        <v>19</v>
      </c>
      <c r="B13" s="4" t="s">
        <v>20</v>
      </c>
    </row>
    <row r="14" spans="1:2" x14ac:dyDescent="0.35">
      <c r="A14" s="5" t="s">
        <v>21</v>
      </c>
      <c r="B14" s="4" t="s">
        <v>22</v>
      </c>
    </row>
    <row r="15" spans="1:2" x14ac:dyDescent="0.35">
      <c r="A15" s="5" t="s">
        <v>23</v>
      </c>
      <c r="B15" s="4" t="s">
        <v>24</v>
      </c>
    </row>
    <row r="16" spans="1:2" x14ac:dyDescent="0.35">
      <c r="A16" s="5" t="s">
        <v>25</v>
      </c>
      <c r="B16" s="4" t="s">
        <v>26</v>
      </c>
    </row>
    <row r="17" spans="1:2" x14ac:dyDescent="0.35">
      <c r="A17" s="5" t="s">
        <v>27</v>
      </c>
      <c r="B17" s="4" t="s">
        <v>28</v>
      </c>
    </row>
    <row r="18" spans="1:2" x14ac:dyDescent="0.35">
      <c r="A18" s="3" t="s">
        <v>29</v>
      </c>
      <c r="B18" s="4"/>
    </row>
    <row r="19" spans="1:2" ht="25" x14ac:dyDescent="0.35">
      <c r="A19" s="5" t="s">
        <v>30</v>
      </c>
      <c r="B19" s="4" t="s">
        <v>31</v>
      </c>
    </row>
    <row r="20" spans="1:2" ht="25" x14ac:dyDescent="0.35">
      <c r="A20" s="5" t="s">
        <v>32</v>
      </c>
      <c r="B20" s="4" t="s">
        <v>33</v>
      </c>
    </row>
    <row r="21" spans="1:2" ht="25" x14ac:dyDescent="0.35">
      <c r="A21" s="5" t="s">
        <v>34</v>
      </c>
      <c r="B21" s="4" t="s">
        <v>35</v>
      </c>
    </row>
    <row r="22" spans="1:2" x14ac:dyDescent="0.35">
      <c r="A22" s="5" t="s">
        <v>36</v>
      </c>
      <c r="B22" s="4" t="s">
        <v>37</v>
      </c>
    </row>
    <row r="23" spans="1:2" ht="25" x14ac:dyDescent="0.35">
      <c r="A23" s="5" t="s">
        <v>38</v>
      </c>
      <c r="B23" s="4" t="s">
        <v>39</v>
      </c>
    </row>
    <row r="24" spans="1:2" ht="25" x14ac:dyDescent="0.35">
      <c r="A24" s="5" t="s">
        <v>40</v>
      </c>
      <c r="B24" s="4" t="s">
        <v>41</v>
      </c>
    </row>
    <row r="25" spans="1:2" ht="25" x14ac:dyDescent="0.35">
      <c r="A25" s="5" t="s">
        <v>42</v>
      </c>
      <c r="B25" s="4" t="s">
        <v>43</v>
      </c>
    </row>
    <row r="26" spans="1:2" x14ac:dyDescent="0.35">
      <c r="A26" s="5" t="s">
        <v>44</v>
      </c>
      <c r="B26" s="4" t="s">
        <v>45</v>
      </c>
    </row>
    <row r="27" spans="1:2" ht="25" x14ac:dyDescent="0.35">
      <c r="A27" s="3" t="s">
        <v>46</v>
      </c>
      <c r="B27" s="4" t="s">
        <v>47</v>
      </c>
    </row>
    <row r="29" spans="1:2" x14ac:dyDescent="0.35">
      <c r="A29" s="6" t="s">
        <v>48</v>
      </c>
    </row>
    <row r="30" spans="1:2" ht="30" customHeight="1" x14ac:dyDescent="0.35">
      <c r="A30" s="7" t="s">
        <v>49</v>
      </c>
      <c r="B30" s="7" t="s">
        <v>50</v>
      </c>
    </row>
    <row r="31" spans="1:2" x14ac:dyDescent="0.35">
      <c r="A31" s="4" t="s">
        <v>51</v>
      </c>
      <c r="B31" s="8" t="s">
        <v>52</v>
      </c>
    </row>
    <row r="32" spans="1:2" x14ac:dyDescent="0.35">
      <c r="A32" s="4" t="s">
        <v>53</v>
      </c>
      <c r="B32" s="8" t="s">
        <v>54</v>
      </c>
    </row>
    <row r="33" spans="1:2" ht="25" x14ac:dyDescent="0.35">
      <c r="A33" s="4" t="s">
        <v>55</v>
      </c>
      <c r="B33" s="8" t="s">
        <v>56</v>
      </c>
    </row>
    <row r="34" spans="1:2" ht="25" x14ac:dyDescent="0.35">
      <c r="A34" s="4" t="s">
        <v>57</v>
      </c>
      <c r="B34" s="8" t="s">
        <v>58</v>
      </c>
    </row>
    <row r="35" spans="1:2" ht="25" x14ac:dyDescent="0.35">
      <c r="A35" s="4" t="s">
        <v>59</v>
      </c>
      <c r="B35" s="8" t="s">
        <v>60</v>
      </c>
    </row>
    <row r="36" spans="1:2" ht="25" x14ac:dyDescent="0.35">
      <c r="A36" s="4" t="s">
        <v>61</v>
      </c>
      <c r="B36" s="8" t="s">
        <v>62</v>
      </c>
    </row>
    <row r="37" spans="1:2" ht="25" x14ac:dyDescent="0.35">
      <c r="A37" s="4" t="s">
        <v>63</v>
      </c>
      <c r="B37" s="8" t="s">
        <v>64</v>
      </c>
    </row>
    <row r="38" spans="1:2" ht="25" x14ac:dyDescent="0.35">
      <c r="A38" s="4" t="s">
        <v>65</v>
      </c>
      <c r="B38" s="8" t="s">
        <v>66</v>
      </c>
    </row>
    <row r="39" spans="1:2" ht="25" x14ac:dyDescent="0.35">
      <c r="A39" s="4" t="s">
        <v>67</v>
      </c>
      <c r="B39" s="8" t="s">
        <v>68</v>
      </c>
    </row>
    <row r="40" spans="1:2" x14ac:dyDescent="0.35">
      <c r="A40" s="4" t="s">
        <v>69</v>
      </c>
      <c r="B40" s="8" t="s">
        <v>70</v>
      </c>
    </row>
    <row r="41" spans="1:2" x14ac:dyDescent="0.35">
      <c r="A41" s="4" t="s">
        <v>71</v>
      </c>
      <c r="B41" s="8" t="s">
        <v>72</v>
      </c>
    </row>
    <row r="42" spans="1:2" ht="25" x14ac:dyDescent="0.35">
      <c r="A42" s="4" t="s">
        <v>73</v>
      </c>
      <c r="B42" s="8" t="s">
        <v>74</v>
      </c>
    </row>
    <row r="43" spans="1:2" x14ac:dyDescent="0.35">
      <c r="A43" s="4" t="s">
        <v>75</v>
      </c>
      <c r="B43" s="8" t="s">
        <v>76</v>
      </c>
    </row>
    <row r="44" spans="1:2" x14ac:dyDescent="0.35">
      <c r="A44" s="4" t="s">
        <v>77</v>
      </c>
      <c r="B44" s="8" t="s">
        <v>78</v>
      </c>
    </row>
    <row r="45" spans="1:2" x14ac:dyDescent="0.35">
      <c r="A45" s="4" t="s">
        <v>79</v>
      </c>
      <c r="B45" s="8" t="s">
        <v>80</v>
      </c>
    </row>
    <row r="46" spans="1:2" ht="25" x14ac:dyDescent="0.35">
      <c r="A46" s="4" t="s">
        <v>81</v>
      </c>
      <c r="B46" s="8" t="s">
        <v>82</v>
      </c>
    </row>
  </sheetData>
  <hyperlinks>
    <hyperlink ref="B31" r:id="rId1" xr:uid="{00000000-0004-0000-0000-000000000000}"/>
    <hyperlink ref="B32" r:id="rId2" xr:uid="{00000000-0004-0000-0000-000001000000}"/>
    <hyperlink ref="B33" r:id="rId3" xr:uid="{00000000-0004-0000-0000-000002000000}"/>
    <hyperlink ref="B34" r:id="rId4" xr:uid="{00000000-0004-0000-0000-000003000000}"/>
    <hyperlink ref="B35" r:id="rId5" xr:uid="{00000000-0004-0000-0000-000004000000}"/>
    <hyperlink ref="B36" r:id="rId6" xr:uid="{00000000-0004-0000-0000-000005000000}"/>
    <hyperlink ref="B37" r:id="rId7" xr:uid="{00000000-0004-0000-0000-000006000000}"/>
    <hyperlink ref="B38" r:id="rId8" xr:uid="{00000000-0004-0000-0000-000007000000}"/>
    <hyperlink ref="B39" r:id="rId9" xr:uid="{00000000-0004-0000-0000-000008000000}"/>
    <hyperlink ref="B40" r:id="rId10" xr:uid="{00000000-0004-0000-0000-000009000000}"/>
    <hyperlink ref="B41" r:id="rId11" xr:uid="{00000000-0004-0000-0000-00000A000000}"/>
    <hyperlink ref="B42" r:id="rId12" xr:uid="{00000000-0004-0000-0000-00000B000000}"/>
    <hyperlink ref="B43" r:id="rId13" xr:uid="{00000000-0004-0000-0000-00000C000000}"/>
    <hyperlink ref="B44" r:id="rId14" xr:uid="{00000000-0004-0000-0000-00000D000000}"/>
    <hyperlink ref="B45" r:id="rId15" xr:uid="{00000000-0004-0000-0000-00000E000000}"/>
    <hyperlink ref="B46" r:id="rId16" xr:uid="{00000000-0004-0000-0000-00000F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3"/>
  <sheetViews>
    <sheetView showGridLines="0" workbookViewId="0"/>
  </sheetViews>
  <sheetFormatPr defaultRowHeight="14.5" x14ac:dyDescent="0.35"/>
  <cols>
    <col min="1" max="1" width="22" customWidth="1"/>
    <col min="2" max="3" width="18" customWidth="1"/>
    <col min="4" max="4" width="22" customWidth="1"/>
    <col min="5" max="5" width="16" customWidth="1"/>
    <col min="6" max="6" width="22" customWidth="1"/>
  </cols>
  <sheetData>
    <row r="1" spans="1:6" ht="18" x14ac:dyDescent="0.4">
      <c r="A1" s="1" t="s">
        <v>83</v>
      </c>
    </row>
    <row r="2" spans="1:6" x14ac:dyDescent="0.35">
      <c r="A2" s="2" t="s">
        <v>84</v>
      </c>
    </row>
    <row r="4" spans="1:6" ht="30" customHeight="1" x14ac:dyDescent="0.35">
      <c r="A4" s="7" t="s">
        <v>85</v>
      </c>
      <c r="B4" s="7" t="s">
        <v>86</v>
      </c>
      <c r="C4" s="7" t="s">
        <v>87</v>
      </c>
      <c r="D4" s="7" t="s">
        <v>88</v>
      </c>
      <c r="E4" s="7" t="s">
        <v>89</v>
      </c>
      <c r="F4" s="7" t="s">
        <v>90</v>
      </c>
    </row>
    <row r="5" spans="1:6" x14ac:dyDescent="0.35">
      <c r="A5" s="9" t="s">
        <v>91</v>
      </c>
      <c r="B5" s="10">
        <f>COUNTIF('Menu Permissions'!C2:C54,"✓")</f>
        <v>1</v>
      </c>
      <c r="C5" s="10">
        <f>COUNTIF('Page Permissions'!C2:C475,"✓")</f>
        <v>4</v>
      </c>
      <c r="D5" s="10">
        <f>COUNTIF('Purchasing Permissions'!C2:C14,"✓")</f>
        <v>0</v>
      </c>
      <c r="E5" s="10">
        <f t="shared" ref="E5:E11" si="0">SUM(B5:D5)</f>
        <v>5</v>
      </c>
      <c r="F5" s="11">
        <f t="shared" ref="F5:F10" si="1">C5/$C$11</f>
        <v>8.4388185654008432E-3</v>
      </c>
    </row>
    <row r="6" spans="1:6" x14ac:dyDescent="0.35">
      <c r="A6" s="9" t="s">
        <v>92</v>
      </c>
      <c r="B6" s="10">
        <f>COUNTIF('Menu Permissions'!D2:D54,"✓")</f>
        <v>22</v>
      </c>
      <c r="C6" s="10">
        <f>COUNTIF('Page Permissions'!D2:D475,"✓")</f>
        <v>239</v>
      </c>
      <c r="D6" s="10">
        <f>COUNTIF('Purchasing Permissions'!D2:D14,"✓")</f>
        <v>13</v>
      </c>
      <c r="E6" s="10">
        <f t="shared" si="0"/>
        <v>274</v>
      </c>
      <c r="F6" s="11">
        <f t="shared" si="1"/>
        <v>0.50421940928270037</v>
      </c>
    </row>
    <row r="7" spans="1:6" x14ac:dyDescent="0.35">
      <c r="A7" s="9" t="s">
        <v>93</v>
      </c>
      <c r="B7" s="10">
        <f>COUNTIF('Menu Permissions'!E2:E54,"✓")</f>
        <v>34</v>
      </c>
      <c r="C7" s="10">
        <f>COUNTIF('Page Permissions'!E2:E475,"✓")</f>
        <v>364</v>
      </c>
      <c r="D7" s="10">
        <f>COUNTIF('Purchasing Permissions'!E2:E14,"✓")</f>
        <v>0</v>
      </c>
      <c r="E7" s="10">
        <f t="shared" si="0"/>
        <v>398</v>
      </c>
      <c r="F7" s="11">
        <f t="shared" si="1"/>
        <v>0.76793248945147674</v>
      </c>
    </row>
    <row r="8" spans="1:6" x14ac:dyDescent="0.35">
      <c r="A8" s="9" t="s">
        <v>94</v>
      </c>
      <c r="B8" s="10">
        <f>COUNTIF('Menu Permissions'!F2:F54,"✓")</f>
        <v>15</v>
      </c>
      <c r="C8" s="10">
        <f>COUNTIF('Page Permissions'!F2:F475,"✓")</f>
        <v>141</v>
      </c>
      <c r="D8" s="10">
        <f>COUNTIF('Purchasing Permissions'!F2:F14,"✓")</f>
        <v>13</v>
      </c>
      <c r="E8" s="10">
        <f t="shared" si="0"/>
        <v>169</v>
      </c>
      <c r="F8" s="11">
        <f t="shared" si="1"/>
        <v>0.29746835443037972</v>
      </c>
    </row>
    <row r="9" spans="1:6" x14ac:dyDescent="0.35">
      <c r="A9" s="9" t="s">
        <v>95</v>
      </c>
      <c r="B9" s="10">
        <f>COUNTIF('Menu Permissions'!G2:G54,"✓")</f>
        <v>13</v>
      </c>
      <c r="C9" s="10">
        <f>COUNTIF('Page Permissions'!G2:G475,"✓")</f>
        <v>162</v>
      </c>
      <c r="D9" s="10">
        <f>COUNTIF('Purchasing Permissions'!G2:G14,"✓")</f>
        <v>0</v>
      </c>
      <c r="E9" s="10">
        <f t="shared" si="0"/>
        <v>175</v>
      </c>
      <c r="F9" s="11">
        <f t="shared" si="1"/>
        <v>0.34177215189873417</v>
      </c>
    </row>
    <row r="10" spans="1:6" x14ac:dyDescent="0.35">
      <c r="A10" s="9" t="s">
        <v>96</v>
      </c>
      <c r="B10" s="10">
        <f>COUNTIF('Menu Permissions'!H2:H54,"✓")</f>
        <v>53</v>
      </c>
      <c r="C10" s="10">
        <f>COUNTIF('Page Permissions'!H2:H475,"✓")</f>
        <v>474</v>
      </c>
      <c r="D10" s="10">
        <f>COUNTIF('Purchasing Permissions'!H2:H14,"✓")</f>
        <v>13</v>
      </c>
      <c r="E10" s="10">
        <f t="shared" si="0"/>
        <v>540</v>
      </c>
      <c r="F10" s="11">
        <f t="shared" si="1"/>
        <v>1</v>
      </c>
    </row>
    <row r="11" spans="1:6" x14ac:dyDescent="0.35">
      <c r="A11" s="12" t="s">
        <v>97</v>
      </c>
      <c r="B11" s="13">
        <f>COUNTA('Menu Permissions'!A2:A54)</f>
        <v>53</v>
      </c>
      <c r="C11" s="13">
        <f>COUNTA('Page Permissions'!B2:B475)</f>
        <v>474</v>
      </c>
      <c r="D11" s="13">
        <f>COUNTA('Purchasing Permissions'!B2:B14)</f>
        <v>13</v>
      </c>
      <c r="E11" s="13">
        <f t="shared" si="0"/>
        <v>540</v>
      </c>
    </row>
    <row r="15" spans="1:6" ht="15.5" x14ac:dyDescent="0.35">
      <c r="A15" s="14" t="s">
        <v>98</v>
      </c>
    </row>
    <row r="16" spans="1:6" ht="44" customHeight="1" x14ac:dyDescent="0.35">
      <c r="A16" s="7" t="s">
        <v>85</v>
      </c>
      <c r="B16" s="7" t="s">
        <v>99</v>
      </c>
      <c r="C16" s="7" t="s">
        <v>100</v>
      </c>
      <c r="D16" s="7" t="s">
        <v>101</v>
      </c>
      <c r="E16" s="7" t="s">
        <v>102</v>
      </c>
      <c r="F16" s="7" t="s">
        <v>103</v>
      </c>
    </row>
    <row r="17" spans="1:6" x14ac:dyDescent="0.35">
      <c r="A17" s="9" t="s">
        <v>104</v>
      </c>
      <c r="B17" s="10">
        <f>COUNTIF('API Permissions'!B2:B72,"&lt;&gt;-")</f>
        <v>71</v>
      </c>
      <c r="C17" s="10">
        <f>COUNTIF('API Permissions'!B2:B72,"*F*")</f>
        <v>71</v>
      </c>
      <c r="D17" s="10">
        <f>SUMPRODUCT(--((ISNUMBER(SEARCH("A",'API Permissions'!B2:B72))+ISNUMBER(SEARCH("C",'API Permissions'!B2:B72))+ISNUMBER(SEARCH("R",'API Permissions'!B2:B72)))&gt;0))</f>
        <v>71</v>
      </c>
      <c r="E17" s="10">
        <f>COUNTIF('API Permissions'!B2:B72,"AFCR")</f>
        <v>71</v>
      </c>
      <c r="F17" s="10">
        <f>COUNTA('API Permissions'!A2:A72)</f>
        <v>71</v>
      </c>
    </row>
    <row r="18" spans="1:6" x14ac:dyDescent="0.35">
      <c r="A18" s="9" t="s">
        <v>105</v>
      </c>
      <c r="B18" s="10">
        <f>COUNTIF('API Permissions'!C2:C72,"&lt;&gt;-")</f>
        <v>56</v>
      </c>
      <c r="C18" s="10">
        <f>COUNTIF('API Permissions'!C2:C72,"*F*")</f>
        <v>56</v>
      </c>
      <c r="D18" s="10">
        <f>SUMPRODUCT(--((ISNUMBER(SEARCH("A",'API Permissions'!C2:C72))+ISNUMBER(SEARCH("C",'API Permissions'!C2:C72))+ISNUMBER(SEARCH("R",'API Permissions'!C2:C72)))&gt;0))</f>
        <v>27</v>
      </c>
      <c r="E18" s="10">
        <f>COUNTIF('API Permissions'!C2:C72,"AFCR")</f>
        <v>12</v>
      </c>
      <c r="F18" s="10">
        <f>COUNTA('API Permissions'!A2:A72)</f>
        <v>71</v>
      </c>
    </row>
    <row r="19" spans="1:6" x14ac:dyDescent="0.35">
      <c r="A19" s="9" t="s">
        <v>106</v>
      </c>
      <c r="B19" s="10">
        <f>COUNTIF('API Permissions'!D2:D72,"&lt;&gt;-")</f>
        <v>46</v>
      </c>
      <c r="C19" s="10">
        <f>COUNTIF('API Permissions'!D2:D72,"*F*")</f>
        <v>46</v>
      </c>
      <c r="D19" s="10">
        <f>SUMPRODUCT(--((ISNUMBER(SEARCH("A",'API Permissions'!D2:D72))+ISNUMBER(SEARCH("C",'API Permissions'!D2:D72))+ISNUMBER(SEARCH("R",'API Permissions'!D2:D72)))&gt;0))</f>
        <v>11</v>
      </c>
      <c r="E19" s="10">
        <f>COUNTIF('API Permissions'!D2:D72,"AFCR")</f>
        <v>6</v>
      </c>
      <c r="F19" s="10">
        <f>COUNTA('API Permissions'!A2:A72)</f>
        <v>71</v>
      </c>
    </row>
    <row r="20" spans="1:6" x14ac:dyDescent="0.35">
      <c r="A20" s="9" t="s">
        <v>94</v>
      </c>
      <c r="B20" s="10">
        <f>COUNTIF('API Permissions'!E2:E72,"&lt;&gt;-")</f>
        <v>28</v>
      </c>
      <c r="C20" s="10">
        <f>COUNTIF('API Permissions'!E2:E72,"*F*")</f>
        <v>28</v>
      </c>
      <c r="D20" s="10">
        <f>SUMPRODUCT(--((ISNUMBER(SEARCH("A",'API Permissions'!E2:E72))+ISNUMBER(SEARCH("C",'API Permissions'!E2:E72))+ISNUMBER(SEARCH("R",'API Permissions'!E2:E72)))&gt;0))</f>
        <v>5</v>
      </c>
      <c r="E20" s="10">
        <f>COUNTIF('API Permissions'!E2:E72,"AFCR")</f>
        <v>4</v>
      </c>
      <c r="F20" s="10">
        <f>COUNTA('API Permissions'!A2:A72)</f>
        <v>71</v>
      </c>
    </row>
    <row r="21" spans="1:6" x14ac:dyDescent="0.35">
      <c r="A21" s="9" t="s">
        <v>92</v>
      </c>
      <c r="B21" s="10">
        <f>COUNTIF('API Permissions'!F2:F72,"&lt;&gt;-")</f>
        <v>39</v>
      </c>
      <c r="C21" s="10">
        <f>COUNTIF('API Permissions'!F2:F72,"*F*")</f>
        <v>39</v>
      </c>
      <c r="D21" s="10">
        <f>SUMPRODUCT(--((ISNUMBER(SEARCH("A",'API Permissions'!F2:F72))+ISNUMBER(SEARCH("C",'API Permissions'!F2:F72))+ISNUMBER(SEARCH("R",'API Permissions'!F2:F72)))&gt;0))</f>
        <v>12</v>
      </c>
      <c r="E21" s="10">
        <f>COUNTIF('API Permissions'!F2:F72,"AFCR")</f>
        <v>6</v>
      </c>
      <c r="F21" s="10">
        <f>COUNTA('API Permissions'!A2:A72)</f>
        <v>71</v>
      </c>
    </row>
    <row r="23" spans="1:6" x14ac:dyDescent="0.35">
      <c r="A23" s="2" t="s">
        <v>107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75"/>
  <sheetViews>
    <sheetView workbookViewId="0">
      <pane xSplit="2" ySplit="1" topLeftCell="C2" activePane="bottomRight" state="frozen"/>
      <selection pane="topRight"/>
      <selection pane="bottomLeft"/>
      <selection pane="bottomRight"/>
    </sheetView>
  </sheetViews>
  <sheetFormatPr defaultRowHeight="14.5" x14ac:dyDescent="0.35"/>
  <cols>
    <col min="1" max="1" width="38" customWidth="1"/>
    <col min="2" max="2" width="36" customWidth="1"/>
    <col min="3" max="9" width="11" customWidth="1"/>
    <col min="10" max="10" width="13" customWidth="1"/>
  </cols>
  <sheetData>
    <row r="1" spans="1:10" ht="30" customHeight="1" x14ac:dyDescent="0.35">
      <c r="A1" s="7" t="s">
        <v>108</v>
      </c>
      <c r="B1" s="7" t="s">
        <v>109</v>
      </c>
      <c r="C1" s="7" t="s">
        <v>91</v>
      </c>
      <c r="D1" s="7" t="s">
        <v>92</v>
      </c>
      <c r="E1" s="7" t="s">
        <v>93</v>
      </c>
      <c r="F1" s="7" t="s">
        <v>94</v>
      </c>
      <c r="G1" s="7" t="s">
        <v>95</v>
      </c>
      <c r="H1" s="7" t="s">
        <v>96</v>
      </c>
      <c r="I1" s="7" t="s">
        <v>110</v>
      </c>
      <c r="J1" s="7" t="s">
        <v>111</v>
      </c>
    </row>
    <row r="2" spans="1:10" x14ac:dyDescent="0.35">
      <c r="A2" s="15" t="s">
        <v>112</v>
      </c>
      <c r="B2" s="15" t="s">
        <v>113</v>
      </c>
      <c r="C2" s="16"/>
      <c r="D2" s="17" t="s">
        <v>114</v>
      </c>
      <c r="E2" s="16"/>
      <c r="F2" s="17" t="s">
        <v>114</v>
      </c>
      <c r="G2" s="16"/>
      <c r="H2" s="17" t="s">
        <v>114</v>
      </c>
      <c r="I2" s="10">
        <f t="shared" ref="I2:I65" si="0">COUNTIF(C2:H2,"✓")</f>
        <v>3</v>
      </c>
      <c r="J2" s="10" t="s">
        <v>115</v>
      </c>
    </row>
    <row r="3" spans="1:10" x14ac:dyDescent="0.35">
      <c r="A3" s="15" t="s">
        <v>112</v>
      </c>
      <c r="B3" s="15" t="s">
        <v>116</v>
      </c>
      <c r="C3" s="16"/>
      <c r="D3" s="17" t="s">
        <v>114</v>
      </c>
      <c r="E3" s="16"/>
      <c r="F3" s="17" t="s">
        <v>114</v>
      </c>
      <c r="G3" s="16"/>
      <c r="H3" s="17" t="s">
        <v>114</v>
      </c>
      <c r="I3" s="10">
        <f t="shared" si="0"/>
        <v>3</v>
      </c>
      <c r="J3" s="10" t="s">
        <v>115</v>
      </c>
    </row>
    <row r="4" spans="1:10" x14ac:dyDescent="0.35">
      <c r="A4" s="15" t="s">
        <v>112</v>
      </c>
      <c r="B4" s="15" t="s">
        <v>117</v>
      </c>
      <c r="C4" s="16"/>
      <c r="D4" s="17" t="s">
        <v>114</v>
      </c>
      <c r="E4" s="16"/>
      <c r="F4" s="17" t="s">
        <v>114</v>
      </c>
      <c r="G4" s="16"/>
      <c r="H4" s="17" t="s">
        <v>114</v>
      </c>
      <c r="I4" s="10">
        <f t="shared" si="0"/>
        <v>3</v>
      </c>
      <c r="J4" s="10" t="s">
        <v>115</v>
      </c>
    </row>
    <row r="5" spans="1:10" x14ac:dyDescent="0.35">
      <c r="A5" s="15" t="s">
        <v>112</v>
      </c>
      <c r="B5" s="15" t="s">
        <v>118</v>
      </c>
      <c r="C5" s="16"/>
      <c r="D5" s="17" t="s">
        <v>114</v>
      </c>
      <c r="E5" s="16"/>
      <c r="F5" s="17" t="s">
        <v>114</v>
      </c>
      <c r="G5" s="16"/>
      <c r="H5" s="17" t="s">
        <v>114</v>
      </c>
      <c r="I5" s="10">
        <f t="shared" si="0"/>
        <v>3</v>
      </c>
      <c r="J5" s="10" t="s">
        <v>115</v>
      </c>
    </row>
    <row r="6" spans="1:10" x14ac:dyDescent="0.35">
      <c r="A6" s="15" t="s">
        <v>112</v>
      </c>
      <c r="B6" s="15" t="s">
        <v>119</v>
      </c>
      <c r="C6" s="16"/>
      <c r="D6" s="17" t="s">
        <v>114</v>
      </c>
      <c r="E6" s="16"/>
      <c r="F6" s="17" t="s">
        <v>114</v>
      </c>
      <c r="G6" s="16"/>
      <c r="H6" s="17" t="s">
        <v>114</v>
      </c>
      <c r="I6" s="10">
        <f t="shared" si="0"/>
        <v>3</v>
      </c>
      <c r="J6" s="10" t="s">
        <v>115</v>
      </c>
    </row>
    <row r="7" spans="1:10" x14ac:dyDescent="0.35">
      <c r="A7" s="15" t="s">
        <v>112</v>
      </c>
      <c r="B7" s="15" t="s">
        <v>120</v>
      </c>
      <c r="C7" s="16"/>
      <c r="D7" s="17" t="s">
        <v>114</v>
      </c>
      <c r="E7" s="16"/>
      <c r="F7" s="17" t="s">
        <v>114</v>
      </c>
      <c r="G7" s="16"/>
      <c r="H7" s="17" t="s">
        <v>114</v>
      </c>
      <c r="I7" s="10">
        <f t="shared" si="0"/>
        <v>3</v>
      </c>
      <c r="J7" s="10" t="s">
        <v>115</v>
      </c>
    </row>
    <row r="8" spans="1:10" x14ac:dyDescent="0.35">
      <c r="A8" s="15" t="s">
        <v>112</v>
      </c>
      <c r="B8" s="15" t="s">
        <v>121</v>
      </c>
      <c r="C8" s="16"/>
      <c r="D8" s="17" t="s">
        <v>114</v>
      </c>
      <c r="E8" s="16"/>
      <c r="F8" s="17" t="s">
        <v>114</v>
      </c>
      <c r="G8" s="16"/>
      <c r="H8" s="17" t="s">
        <v>114</v>
      </c>
      <c r="I8" s="10">
        <f t="shared" si="0"/>
        <v>3</v>
      </c>
      <c r="J8" s="10" t="s">
        <v>115</v>
      </c>
    </row>
    <row r="9" spans="1:10" x14ac:dyDescent="0.35">
      <c r="A9" s="15" t="s">
        <v>122</v>
      </c>
      <c r="B9" s="15" t="s">
        <v>113</v>
      </c>
      <c r="C9" s="16"/>
      <c r="D9" s="17" t="s">
        <v>114</v>
      </c>
      <c r="E9" s="16"/>
      <c r="F9" s="17" t="s">
        <v>114</v>
      </c>
      <c r="G9" s="16"/>
      <c r="H9" s="17" t="s">
        <v>114</v>
      </c>
      <c r="I9" s="10">
        <f t="shared" si="0"/>
        <v>3</v>
      </c>
      <c r="J9" s="10" t="s">
        <v>115</v>
      </c>
    </row>
    <row r="10" spans="1:10" x14ac:dyDescent="0.35">
      <c r="A10" s="15" t="s">
        <v>122</v>
      </c>
      <c r="B10" s="15" t="s">
        <v>116</v>
      </c>
      <c r="C10" s="16"/>
      <c r="D10" s="17" t="s">
        <v>114</v>
      </c>
      <c r="E10" s="16"/>
      <c r="F10" s="17" t="s">
        <v>114</v>
      </c>
      <c r="G10" s="16"/>
      <c r="H10" s="17" t="s">
        <v>114</v>
      </c>
      <c r="I10" s="10">
        <f t="shared" si="0"/>
        <v>3</v>
      </c>
      <c r="J10" s="10" t="s">
        <v>115</v>
      </c>
    </row>
    <row r="11" spans="1:10" x14ac:dyDescent="0.35">
      <c r="A11" s="15" t="s">
        <v>122</v>
      </c>
      <c r="B11" s="15" t="s">
        <v>117</v>
      </c>
      <c r="C11" s="16"/>
      <c r="D11" s="17" t="s">
        <v>114</v>
      </c>
      <c r="E11" s="16"/>
      <c r="F11" s="17" t="s">
        <v>114</v>
      </c>
      <c r="G11" s="16"/>
      <c r="H11" s="17" t="s">
        <v>114</v>
      </c>
      <c r="I11" s="10">
        <f t="shared" si="0"/>
        <v>3</v>
      </c>
      <c r="J11" s="10" t="s">
        <v>115</v>
      </c>
    </row>
    <row r="12" spans="1:10" x14ac:dyDescent="0.35">
      <c r="A12" s="15" t="s">
        <v>122</v>
      </c>
      <c r="B12" s="15" t="s">
        <v>118</v>
      </c>
      <c r="C12" s="16"/>
      <c r="D12" s="17" t="s">
        <v>114</v>
      </c>
      <c r="E12" s="16"/>
      <c r="F12" s="17" t="s">
        <v>114</v>
      </c>
      <c r="G12" s="16"/>
      <c r="H12" s="17" t="s">
        <v>114</v>
      </c>
      <c r="I12" s="10">
        <f t="shared" si="0"/>
        <v>3</v>
      </c>
      <c r="J12" s="10" t="s">
        <v>115</v>
      </c>
    </row>
    <row r="13" spans="1:10" x14ac:dyDescent="0.35">
      <c r="A13" s="15" t="s">
        <v>122</v>
      </c>
      <c r="B13" s="15" t="s">
        <v>119</v>
      </c>
      <c r="C13" s="16"/>
      <c r="D13" s="17" t="s">
        <v>114</v>
      </c>
      <c r="E13" s="16"/>
      <c r="F13" s="17" t="s">
        <v>114</v>
      </c>
      <c r="G13" s="16"/>
      <c r="H13" s="17" t="s">
        <v>114</v>
      </c>
      <c r="I13" s="10">
        <f t="shared" si="0"/>
        <v>3</v>
      </c>
      <c r="J13" s="10" t="s">
        <v>115</v>
      </c>
    </row>
    <row r="14" spans="1:10" x14ac:dyDescent="0.35">
      <c r="A14" s="15" t="s">
        <v>122</v>
      </c>
      <c r="B14" s="15" t="s">
        <v>120</v>
      </c>
      <c r="C14" s="16"/>
      <c r="D14" s="17" t="s">
        <v>114</v>
      </c>
      <c r="E14" s="16"/>
      <c r="F14" s="17" t="s">
        <v>114</v>
      </c>
      <c r="G14" s="16"/>
      <c r="H14" s="17" t="s">
        <v>114</v>
      </c>
      <c r="I14" s="10">
        <f t="shared" si="0"/>
        <v>3</v>
      </c>
      <c r="J14" s="10" t="s">
        <v>115</v>
      </c>
    </row>
    <row r="15" spans="1:10" x14ac:dyDescent="0.35">
      <c r="A15" s="15" t="s">
        <v>122</v>
      </c>
      <c r="B15" s="15" t="s">
        <v>121</v>
      </c>
      <c r="C15" s="16"/>
      <c r="D15" s="17" t="s">
        <v>114</v>
      </c>
      <c r="E15" s="16"/>
      <c r="F15" s="17" t="s">
        <v>114</v>
      </c>
      <c r="G15" s="16"/>
      <c r="H15" s="17" t="s">
        <v>114</v>
      </c>
      <c r="I15" s="10">
        <f t="shared" si="0"/>
        <v>3</v>
      </c>
      <c r="J15" s="10" t="s">
        <v>115</v>
      </c>
    </row>
    <row r="16" spans="1:10" x14ac:dyDescent="0.35">
      <c r="A16" s="15" t="s">
        <v>123</v>
      </c>
      <c r="B16" s="15" t="s">
        <v>113</v>
      </c>
      <c r="C16" s="16"/>
      <c r="D16" s="17" t="s">
        <v>114</v>
      </c>
      <c r="E16" s="17" t="s">
        <v>114</v>
      </c>
      <c r="F16" s="17" t="s">
        <v>114</v>
      </c>
      <c r="G16" s="17" t="s">
        <v>114</v>
      </c>
      <c r="H16" s="17" t="s">
        <v>114</v>
      </c>
      <c r="I16" s="10">
        <f t="shared" si="0"/>
        <v>5</v>
      </c>
      <c r="J16" s="10" t="s">
        <v>124</v>
      </c>
    </row>
    <row r="17" spans="1:10" x14ac:dyDescent="0.35">
      <c r="A17" s="15" t="s">
        <v>123</v>
      </c>
      <c r="B17" s="15" t="s">
        <v>125</v>
      </c>
      <c r="C17" s="16"/>
      <c r="D17" s="17" t="s">
        <v>114</v>
      </c>
      <c r="E17" s="17" t="s">
        <v>114</v>
      </c>
      <c r="F17" s="17" t="s">
        <v>114</v>
      </c>
      <c r="G17" s="16"/>
      <c r="H17" s="17" t="s">
        <v>114</v>
      </c>
      <c r="I17" s="10">
        <f t="shared" si="0"/>
        <v>4</v>
      </c>
      <c r="J17" s="10" t="s">
        <v>124</v>
      </c>
    </row>
    <row r="18" spans="1:10" x14ac:dyDescent="0.35">
      <c r="A18" s="15" t="s">
        <v>123</v>
      </c>
      <c r="B18" s="15" t="s">
        <v>118</v>
      </c>
      <c r="C18" s="16"/>
      <c r="D18" s="17" t="s">
        <v>114</v>
      </c>
      <c r="E18" s="17" t="s">
        <v>114</v>
      </c>
      <c r="F18" s="17" t="s">
        <v>114</v>
      </c>
      <c r="G18" s="17" t="s">
        <v>114</v>
      </c>
      <c r="H18" s="17" t="s">
        <v>114</v>
      </c>
      <c r="I18" s="10">
        <f t="shared" si="0"/>
        <v>5</v>
      </c>
      <c r="J18" s="10" t="s">
        <v>124</v>
      </c>
    </row>
    <row r="19" spans="1:10" x14ac:dyDescent="0.35">
      <c r="A19" s="15" t="s">
        <v>123</v>
      </c>
      <c r="B19" s="15" t="s">
        <v>121</v>
      </c>
      <c r="C19" s="16"/>
      <c r="D19" s="17" t="s">
        <v>114</v>
      </c>
      <c r="E19" s="17" t="s">
        <v>114</v>
      </c>
      <c r="F19" s="17" t="s">
        <v>114</v>
      </c>
      <c r="G19" s="16"/>
      <c r="H19" s="17" t="s">
        <v>114</v>
      </c>
      <c r="I19" s="10">
        <f t="shared" si="0"/>
        <v>4</v>
      </c>
      <c r="J19" s="10" t="s">
        <v>124</v>
      </c>
    </row>
    <row r="20" spans="1:10" x14ac:dyDescent="0.35">
      <c r="A20" s="15" t="s">
        <v>126</v>
      </c>
      <c r="B20" s="15" t="s">
        <v>113</v>
      </c>
      <c r="C20" s="16"/>
      <c r="D20" s="17" t="s">
        <v>114</v>
      </c>
      <c r="E20" s="17" t="s">
        <v>114</v>
      </c>
      <c r="F20" s="16"/>
      <c r="G20" s="17" t="s">
        <v>114</v>
      </c>
      <c r="H20" s="17" t="s">
        <v>114</v>
      </c>
      <c r="I20" s="10">
        <f t="shared" si="0"/>
        <v>4</v>
      </c>
      <c r="J20" s="10" t="s">
        <v>124</v>
      </c>
    </row>
    <row r="21" spans="1:10" x14ac:dyDescent="0.35">
      <c r="A21" s="15" t="s">
        <v>126</v>
      </c>
      <c r="B21" s="15" t="s">
        <v>125</v>
      </c>
      <c r="C21" s="16"/>
      <c r="D21" s="17" t="s">
        <v>114</v>
      </c>
      <c r="E21" s="17" t="s">
        <v>114</v>
      </c>
      <c r="F21" s="16"/>
      <c r="G21" s="16"/>
      <c r="H21" s="17" t="s">
        <v>114</v>
      </c>
      <c r="I21" s="10">
        <f t="shared" si="0"/>
        <v>3</v>
      </c>
      <c r="J21" s="10" t="s">
        <v>124</v>
      </c>
    </row>
    <row r="22" spans="1:10" x14ac:dyDescent="0.35">
      <c r="A22" s="15" t="s">
        <v>126</v>
      </c>
      <c r="B22" s="15" t="s">
        <v>118</v>
      </c>
      <c r="C22" s="16"/>
      <c r="D22" s="17" t="s">
        <v>114</v>
      </c>
      <c r="E22" s="17" t="s">
        <v>114</v>
      </c>
      <c r="F22" s="16"/>
      <c r="G22" s="17" t="s">
        <v>114</v>
      </c>
      <c r="H22" s="17" t="s">
        <v>114</v>
      </c>
      <c r="I22" s="10">
        <f t="shared" si="0"/>
        <v>4</v>
      </c>
      <c r="J22" s="10" t="s">
        <v>124</v>
      </c>
    </row>
    <row r="23" spans="1:10" x14ac:dyDescent="0.35">
      <c r="A23" s="15" t="s">
        <v>126</v>
      </c>
      <c r="B23" s="15" t="s">
        <v>121</v>
      </c>
      <c r="C23" s="16"/>
      <c r="D23" s="17" t="s">
        <v>114</v>
      </c>
      <c r="E23" s="17" t="s">
        <v>114</v>
      </c>
      <c r="F23" s="16"/>
      <c r="G23" s="16"/>
      <c r="H23" s="17" t="s">
        <v>114</v>
      </c>
      <c r="I23" s="10">
        <f t="shared" si="0"/>
        <v>3</v>
      </c>
      <c r="J23" s="10" t="s">
        <v>124</v>
      </c>
    </row>
    <row r="24" spans="1:10" x14ac:dyDescent="0.35">
      <c r="A24" s="15" t="s">
        <v>127</v>
      </c>
      <c r="B24" s="15" t="s">
        <v>113</v>
      </c>
      <c r="C24" s="16"/>
      <c r="D24" s="16"/>
      <c r="E24" s="16"/>
      <c r="F24" s="16"/>
      <c r="G24" s="16"/>
      <c r="H24" s="17" t="s">
        <v>114</v>
      </c>
      <c r="I24" s="10">
        <f t="shared" si="0"/>
        <v>1</v>
      </c>
      <c r="J24" s="10" t="s">
        <v>115</v>
      </c>
    </row>
    <row r="25" spans="1:10" x14ac:dyDescent="0.35">
      <c r="A25" s="15" t="s">
        <v>127</v>
      </c>
      <c r="B25" s="15" t="s">
        <v>116</v>
      </c>
      <c r="C25" s="16"/>
      <c r="D25" s="16"/>
      <c r="E25" s="16"/>
      <c r="F25" s="16"/>
      <c r="G25" s="16"/>
      <c r="H25" s="17" t="s">
        <v>114</v>
      </c>
      <c r="I25" s="10">
        <f t="shared" si="0"/>
        <v>1</v>
      </c>
      <c r="J25" s="10" t="s">
        <v>115</v>
      </c>
    </row>
    <row r="26" spans="1:10" x14ac:dyDescent="0.35">
      <c r="A26" s="15" t="s">
        <v>127</v>
      </c>
      <c r="B26" s="15" t="s">
        <v>117</v>
      </c>
      <c r="C26" s="16"/>
      <c r="D26" s="16"/>
      <c r="E26" s="16"/>
      <c r="F26" s="16"/>
      <c r="G26" s="16"/>
      <c r="H26" s="17" t="s">
        <v>114</v>
      </c>
      <c r="I26" s="10">
        <f t="shared" si="0"/>
        <v>1</v>
      </c>
      <c r="J26" s="10" t="s">
        <v>115</v>
      </c>
    </row>
    <row r="27" spans="1:10" x14ac:dyDescent="0.35">
      <c r="A27" s="15" t="s">
        <v>127</v>
      </c>
      <c r="B27" s="15" t="s">
        <v>118</v>
      </c>
      <c r="C27" s="16"/>
      <c r="D27" s="16"/>
      <c r="E27" s="16"/>
      <c r="F27" s="16"/>
      <c r="G27" s="16"/>
      <c r="H27" s="17" t="s">
        <v>114</v>
      </c>
      <c r="I27" s="10">
        <f t="shared" si="0"/>
        <v>1</v>
      </c>
      <c r="J27" s="10" t="s">
        <v>115</v>
      </c>
    </row>
    <row r="28" spans="1:10" x14ac:dyDescent="0.35">
      <c r="A28" s="15" t="s">
        <v>127</v>
      </c>
      <c r="B28" s="15" t="s">
        <v>119</v>
      </c>
      <c r="C28" s="16"/>
      <c r="D28" s="16"/>
      <c r="E28" s="16"/>
      <c r="F28" s="16"/>
      <c r="G28" s="16"/>
      <c r="H28" s="17" t="s">
        <v>114</v>
      </c>
      <c r="I28" s="10">
        <f t="shared" si="0"/>
        <v>1</v>
      </c>
      <c r="J28" s="10" t="s">
        <v>115</v>
      </c>
    </row>
    <row r="29" spans="1:10" x14ac:dyDescent="0.35">
      <c r="A29" s="15" t="s">
        <v>127</v>
      </c>
      <c r="B29" s="15" t="s">
        <v>120</v>
      </c>
      <c r="C29" s="16"/>
      <c r="D29" s="16"/>
      <c r="E29" s="16"/>
      <c r="F29" s="16"/>
      <c r="G29" s="16"/>
      <c r="H29" s="17" t="s">
        <v>114</v>
      </c>
      <c r="I29" s="10">
        <f t="shared" si="0"/>
        <v>1</v>
      </c>
      <c r="J29" s="10" t="s">
        <v>115</v>
      </c>
    </row>
    <row r="30" spans="1:10" x14ac:dyDescent="0.35">
      <c r="A30" s="15" t="s">
        <v>127</v>
      </c>
      <c r="B30" s="15" t="s">
        <v>121</v>
      </c>
      <c r="C30" s="16"/>
      <c r="D30" s="16"/>
      <c r="E30" s="16"/>
      <c r="F30" s="16"/>
      <c r="G30" s="16"/>
      <c r="H30" s="17" t="s">
        <v>114</v>
      </c>
      <c r="I30" s="10">
        <f t="shared" si="0"/>
        <v>1</v>
      </c>
      <c r="J30" s="10" t="s">
        <v>115</v>
      </c>
    </row>
    <row r="31" spans="1:10" x14ac:dyDescent="0.35">
      <c r="A31" s="15" t="s">
        <v>128</v>
      </c>
      <c r="B31" s="15" t="s">
        <v>113</v>
      </c>
      <c r="C31" s="16"/>
      <c r="D31" s="16"/>
      <c r="E31" s="16"/>
      <c r="F31" s="16"/>
      <c r="G31" s="16"/>
      <c r="H31" s="17" t="s">
        <v>114</v>
      </c>
      <c r="I31" s="10">
        <f t="shared" si="0"/>
        <v>1</v>
      </c>
      <c r="J31" s="10" t="s">
        <v>124</v>
      </c>
    </row>
    <row r="32" spans="1:10" x14ac:dyDescent="0.35">
      <c r="A32" s="15" t="s">
        <v>128</v>
      </c>
      <c r="B32" s="15" t="s">
        <v>125</v>
      </c>
      <c r="C32" s="16"/>
      <c r="D32" s="16"/>
      <c r="E32" s="16"/>
      <c r="F32" s="16"/>
      <c r="G32" s="16"/>
      <c r="H32" s="17" t="s">
        <v>114</v>
      </c>
      <c r="I32" s="10">
        <f t="shared" si="0"/>
        <v>1</v>
      </c>
      <c r="J32" s="10" t="s">
        <v>124</v>
      </c>
    </row>
    <row r="33" spans="1:10" x14ac:dyDescent="0.35">
      <c r="A33" s="15" t="s">
        <v>128</v>
      </c>
      <c r="B33" s="15" t="s">
        <v>118</v>
      </c>
      <c r="C33" s="16"/>
      <c r="D33" s="16"/>
      <c r="E33" s="16"/>
      <c r="F33" s="16"/>
      <c r="G33" s="16"/>
      <c r="H33" s="17" t="s">
        <v>114</v>
      </c>
      <c r="I33" s="10">
        <f t="shared" si="0"/>
        <v>1</v>
      </c>
      <c r="J33" s="10" t="s">
        <v>124</v>
      </c>
    </row>
    <row r="34" spans="1:10" x14ac:dyDescent="0.35">
      <c r="A34" s="15" t="s">
        <v>128</v>
      </c>
      <c r="B34" s="15" t="s">
        <v>121</v>
      </c>
      <c r="C34" s="16"/>
      <c r="D34" s="16"/>
      <c r="E34" s="16"/>
      <c r="F34" s="16"/>
      <c r="G34" s="16"/>
      <c r="H34" s="17" t="s">
        <v>114</v>
      </c>
      <c r="I34" s="10">
        <f t="shared" si="0"/>
        <v>1</v>
      </c>
      <c r="J34" s="10" t="s">
        <v>124</v>
      </c>
    </row>
    <row r="35" spans="1:10" x14ac:dyDescent="0.35">
      <c r="A35" s="15" t="s">
        <v>129</v>
      </c>
      <c r="B35" s="15" t="s">
        <v>113</v>
      </c>
      <c r="C35" s="16"/>
      <c r="D35" s="17" t="s">
        <v>114</v>
      </c>
      <c r="E35" s="17" t="s">
        <v>114</v>
      </c>
      <c r="F35" s="16"/>
      <c r="G35" s="17" t="s">
        <v>114</v>
      </c>
      <c r="H35" s="17" t="s">
        <v>114</v>
      </c>
      <c r="I35" s="10">
        <f t="shared" si="0"/>
        <v>4</v>
      </c>
      <c r="J35" s="10" t="s">
        <v>124</v>
      </c>
    </row>
    <row r="36" spans="1:10" x14ac:dyDescent="0.35">
      <c r="A36" s="15" t="s">
        <v>129</v>
      </c>
      <c r="B36" s="15" t="s">
        <v>125</v>
      </c>
      <c r="C36" s="16"/>
      <c r="D36" s="17" t="s">
        <v>114</v>
      </c>
      <c r="E36" s="17" t="s">
        <v>114</v>
      </c>
      <c r="F36" s="16"/>
      <c r="G36" s="17" t="s">
        <v>114</v>
      </c>
      <c r="H36" s="17" t="s">
        <v>114</v>
      </c>
      <c r="I36" s="10">
        <f t="shared" si="0"/>
        <v>4</v>
      </c>
      <c r="J36" s="10" t="s">
        <v>124</v>
      </c>
    </row>
    <row r="37" spans="1:10" x14ac:dyDescent="0.35">
      <c r="A37" s="15" t="s">
        <v>129</v>
      </c>
      <c r="B37" s="15" t="s">
        <v>118</v>
      </c>
      <c r="C37" s="16"/>
      <c r="D37" s="17" t="s">
        <v>114</v>
      </c>
      <c r="E37" s="17" t="s">
        <v>114</v>
      </c>
      <c r="F37" s="16"/>
      <c r="G37" s="17" t="s">
        <v>114</v>
      </c>
      <c r="H37" s="17" t="s">
        <v>114</v>
      </c>
      <c r="I37" s="10">
        <f t="shared" si="0"/>
        <v>4</v>
      </c>
      <c r="J37" s="10" t="s">
        <v>124</v>
      </c>
    </row>
    <row r="38" spans="1:10" x14ac:dyDescent="0.35">
      <c r="A38" s="15" t="s">
        <v>129</v>
      </c>
      <c r="B38" s="15" t="s">
        <v>121</v>
      </c>
      <c r="C38" s="16"/>
      <c r="D38" s="17" t="s">
        <v>114</v>
      </c>
      <c r="E38" s="17" t="s">
        <v>114</v>
      </c>
      <c r="F38" s="16"/>
      <c r="G38" s="17" t="s">
        <v>114</v>
      </c>
      <c r="H38" s="17" t="s">
        <v>114</v>
      </c>
      <c r="I38" s="10">
        <f t="shared" si="0"/>
        <v>4</v>
      </c>
      <c r="J38" s="10" t="s">
        <v>124</v>
      </c>
    </row>
    <row r="39" spans="1:10" x14ac:dyDescent="0.35">
      <c r="A39" s="15" t="s">
        <v>130</v>
      </c>
      <c r="B39" s="15" t="s">
        <v>113</v>
      </c>
      <c r="C39" s="16"/>
      <c r="D39" s="16"/>
      <c r="E39" s="17" t="s">
        <v>114</v>
      </c>
      <c r="F39" s="16"/>
      <c r="G39" s="17" t="s">
        <v>114</v>
      </c>
      <c r="H39" s="17" t="s">
        <v>114</v>
      </c>
      <c r="I39" s="10">
        <f t="shared" si="0"/>
        <v>3</v>
      </c>
      <c r="J39" s="10" t="s">
        <v>124</v>
      </c>
    </row>
    <row r="40" spans="1:10" x14ac:dyDescent="0.35">
      <c r="A40" s="15" t="s">
        <v>130</v>
      </c>
      <c r="B40" s="15" t="s">
        <v>125</v>
      </c>
      <c r="C40" s="16"/>
      <c r="D40" s="16"/>
      <c r="E40" s="17" t="s">
        <v>114</v>
      </c>
      <c r="F40" s="16"/>
      <c r="G40" s="17" t="s">
        <v>114</v>
      </c>
      <c r="H40" s="17" t="s">
        <v>114</v>
      </c>
      <c r="I40" s="10">
        <f t="shared" si="0"/>
        <v>3</v>
      </c>
      <c r="J40" s="10" t="s">
        <v>124</v>
      </c>
    </row>
    <row r="41" spans="1:10" x14ac:dyDescent="0.35">
      <c r="A41" s="15" t="s">
        <v>130</v>
      </c>
      <c r="B41" s="15" t="s">
        <v>118</v>
      </c>
      <c r="C41" s="16"/>
      <c r="D41" s="16"/>
      <c r="E41" s="17" t="s">
        <v>114</v>
      </c>
      <c r="F41" s="16"/>
      <c r="G41" s="17" t="s">
        <v>114</v>
      </c>
      <c r="H41" s="17" t="s">
        <v>114</v>
      </c>
      <c r="I41" s="10">
        <f t="shared" si="0"/>
        <v>3</v>
      </c>
      <c r="J41" s="10" t="s">
        <v>124</v>
      </c>
    </row>
    <row r="42" spans="1:10" x14ac:dyDescent="0.35">
      <c r="A42" s="15" t="s">
        <v>130</v>
      </c>
      <c r="B42" s="15" t="s">
        <v>121</v>
      </c>
      <c r="C42" s="16"/>
      <c r="D42" s="16"/>
      <c r="E42" s="17" t="s">
        <v>114</v>
      </c>
      <c r="F42" s="16"/>
      <c r="G42" s="17" t="s">
        <v>114</v>
      </c>
      <c r="H42" s="17" t="s">
        <v>114</v>
      </c>
      <c r="I42" s="10">
        <f t="shared" si="0"/>
        <v>3</v>
      </c>
      <c r="J42" s="10" t="s">
        <v>124</v>
      </c>
    </row>
    <row r="43" spans="1:10" x14ac:dyDescent="0.35">
      <c r="A43" s="15" t="s">
        <v>131</v>
      </c>
      <c r="B43" s="15" t="s">
        <v>113</v>
      </c>
      <c r="C43" s="16"/>
      <c r="D43" s="17" t="s">
        <v>114</v>
      </c>
      <c r="E43" s="17" t="s">
        <v>114</v>
      </c>
      <c r="F43" s="16"/>
      <c r="G43" s="17" t="s">
        <v>114</v>
      </c>
      <c r="H43" s="17" t="s">
        <v>114</v>
      </c>
      <c r="I43" s="10">
        <f t="shared" si="0"/>
        <v>4</v>
      </c>
      <c r="J43" s="10" t="s">
        <v>124</v>
      </c>
    </row>
    <row r="44" spans="1:10" x14ac:dyDescent="0.35">
      <c r="A44" s="15" t="s">
        <v>131</v>
      </c>
      <c r="B44" s="15" t="s">
        <v>125</v>
      </c>
      <c r="C44" s="16"/>
      <c r="D44" s="17" t="s">
        <v>114</v>
      </c>
      <c r="E44" s="17" t="s">
        <v>114</v>
      </c>
      <c r="F44" s="16"/>
      <c r="G44" s="16"/>
      <c r="H44" s="17" t="s">
        <v>114</v>
      </c>
      <c r="I44" s="10">
        <f t="shared" si="0"/>
        <v>3</v>
      </c>
      <c r="J44" s="10" t="s">
        <v>124</v>
      </c>
    </row>
    <row r="45" spans="1:10" x14ac:dyDescent="0.35">
      <c r="A45" s="15" t="s">
        <v>131</v>
      </c>
      <c r="B45" s="15" t="s">
        <v>118</v>
      </c>
      <c r="C45" s="16"/>
      <c r="D45" s="17" t="s">
        <v>114</v>
      </c>
      <c r="E45" s="17" t="s">
        <v>114</v>
      </c>
      <c r="F45" s="16"/>
      <c r="G45" s="17" t="s">
        <v>114</v>
      </c>
      <c r="H45" s="17" t="s">
        <v>114</v>
      </c>
      <c r="I45" s="10">
        <f t="shared" si="0"/>
        <v>4</v>
      </c>
      <c r="J45" s="10" t="s">
        <v>124</v>
      </c>
    </row>
    <row r="46" spans="1:10" x14ac:dyDescent="0.35">
      <c r="A46" s="15" t="s">
        <v>131</v>
      </c>
      <c r="B46" s="15" t="s">
        <v>121</v>
      </c>
      <c r="C46" s="16"/>
      <c r="D46" s="17" t="s">
        <v>114</v>
      </c>
      <c r="E46" s="17" t="s">
        <v>114</v>
      </c>
      <c r="F46" s="16"/>
      <c r="G46" s="16"/>
      <c r="H46" s="17" t="s">
        <v>114</v>
      </c>
      <c r="I46" s="10">
        <f t="shared" si="0"/>
        <v>3</v>
      </c>
      <c r="J46" s="10" t="s">
        <v>124</v>
      </c>
    </row>
    <row r="47" spans="1:10" x14ac:dyDescent="0.35">
      <c r="A47" s="15" t="s">
        <v>132</v>
      </c>
      <c r="B47" s="15" t="s">
        <v>113</v>
      </c>
      <c r="C47" s="16"/>
      <c r="D47" s="17" t="s">
        <v>114</v>
      </c>
      <c r="E47" s="17" t="s">
        <v>114</v>
      </c>
      <c r="F47" s="16"/>
      <c r="G47" s="16"/>
      <c r="H47" s="17" t="s">
        <v>114</v>
      </c>
      <c r="I47" s="10">
        <f t="shared" si="0"/>
        <v>3</v>
      </c>
      <c r="J47" s="10" t="s">
        <v>115</v>
      </c>
    </row>
    <row r="48" spans="1:10" x14ac:dyDescent="0.35">
      <c r="A48" s="15" t="s">
        <v>132</v>
      </c>
      <c r="B48" s="15" t="s">
        <v>116</v>
      </c>
      <c r="C48" s="16"/>
      <c r="D48" s="17" t="s">
        <v>114</v>
      </c>
      <c r="E48" s="17" t="s">
        <v>114</v>
      </c>
      <c r="F48" s="16"/>
      <c r="G48" s="16"/>
      <c r="H48" s="17" t="s">
        <v>114</v>
      </c>
      <c r="I48" s="10">
        <f t="shared" si="0"/>
        <v>3</v>
      </c>
      <c r="J48" s="10" t="s">
        <v>115</v>
      </c>
    </row>
    <row r="49" spans="1:10" x14ac:dyDescent="0.35">
      <c r="A49" s="15" t="s">
        <v>132</v>
      </c>
      <c r="B49" s="15" t="s">
        <v>117</v>
      </c>
      <c r="C49" s="16"/>
      <c r="D49" s="17" t="s">
        <v>114</v>
      </c>
      <c r="E49" s="17" t="s">
        <v>114</v>
      </c>
      <c r="F49" s="16"/>
      <c r="G49" s="16"/>
      <c r="H49" s="17" t="s">
        <v>114</v>
      </c>
      <c r="I49" s="10">
        <f t="shared" si="0"/>
        <v>3</v>
      </c>
      <c r="J49" s="10" t="s">
        <v>115</v>
      </c>
    </row>
    <row r="50" spans="1:10" x14ac:dyDescent="0.35">
      <c r="A50" s="15" t="s">
        <v>132</v>
      </c>
      <c r="B50" s="15" t="s">
        <v>118</v>
      </c>
      <c r="C50" s="16"/>
      <c r="D50" s="17" t="s">
        <v>114</v>
      </c>
      <c r="E50" s="17" t="s">
        <v>114</v>
      </c>
      <c r="F50" s="16"/>
      <c r="G50" s="16"/>
      <c r="H50" s="17" t="s">
        <v>114</v>
      </c>
      <c r="I50" s="10">
        <f t="shared" si="0"/>
        <v>3</v>
      </c>
      <c r="J50" s="10" t="s">
        <v>115</v>
      </c>
    </row>
    <row r="51" spans="1:10" x14ac:dyDescent="0.35">
      <c r="A51" s="15" t="s">
        <v>132</v>
      </c>
      <c r="B51" s="15" t="s">
        <v>119</v>
      </c>
      <c r="C51" s="16"/>
      <c r="D51" s="17" t="s">
        <v>114</v>
      </c>
      <c r="E51" s="17" t="s">
        <v>114</v>
      </c>
      <c r="F51" s="16"/>
      <c r="G51" s="16"/>
      <c r="H51" s="17" t="s">
        <v>114</v>
      </c>
      <c r="I51" s="10">
        <f t="shared" si="0"/>
        <v>3</v>
      </c>
      <c r="J51" s="10" t="s">
        <v>115</v>
      </c>
    </row>
    <row r="52" spans="1:10" x14ac:dyDescent="0.35">
      <c r="A52" s="15" t="s">
        <v>132</v>
      </c>
      <c r="B52" s="15" t="s">
        <v>120</v>
      </c>
      <c r="C52" s="16"/>
      <c r="D52" s="17" t="s">
        <v>114</v>
      </c>
      <c r="E52" s="17" t="s">
        <v>114</v>
      </c>
      <c r="F52" s="16"/>
      <c r="G52" s="16"/>
      <c r="H52" s="17" t="s">
        <v>114</v>
      </c>
      <c r="I52" s="10">
        <f t="shared" si="0"/>
        <v>3</v>
      </c>
      <c r="J52" s="10" t="s">
        <v>115</v>
      </c>
    </row>
    <row r="53" spans="1:10" x14ac:dyDescent="0.35">
      <c r="A53" s="15" t="s">
        <v>132</v>
      </c>
      <c r="B53" s="15" t="s">
        <v>121</v>
      </c>
      <c r="C53" s="16"/>
      <c r="D53" s="17" t="s">
        <v>114</v>
      </c>
      <c r="E53" s="17" t="s">
        <v>114</v>
      </c>
      <c r="F53" s="16"/>
      <c r="G53" s="16"/>
      <c r="H53" s="17" t="s">
        <v>114</v>
      </c>
      <c r="I53" s="10">
        <f t="shared" si="0"/>
        <v>3</v>
      </c>
      <c r="J53" s="10" t="s">
        <v>115</v>
      </c>
    </row>
    <row r="54" spans="1:10" x14ac:dyDescent="0.35">
      <c r="A54" s="15" t="s">
        <v>133</v>
      </c>
      <c r="B54" s="15" t="s">
        <v>113</v>
      </c>
      <c r="C54" s="16"/>
      <c r="D54" s="17" t="s">
        <v>114</v>
      </c>
      <c r="E54" s="17" t="s">
        <v>114</v>
      </c>
      <c r="F54" s="16"/>
      <c r="G54" s="17" t="s">
        <v>114</v>
      </c>
      <c r="H54" s="17" t="s">
        <v>114</v>
      </c>
      <c r="I54" s="10">
        <f t="shared" si="0"/>
        <v>4</v>
      </c>
      <c r="J54" s="10" t="s">
        <v>124</v>
      </c>
    </row>
    <row r="55" spans="1:10" x14ac:dyDescent="0.35">
      <c r="A55" s="15" t="s">
        <v>133</v>
      </c>
      <c r="B55" s="15" t="s">
        <v>125</v>
      </c>
      <c r="C55" s="16"/>
      <c r="D55" s="17" t="s">
        <v>114</v>
      </c>
      <c r="E55" s="17" t="s">
        <v>114</v>
      </c>
      <c r="F55" s="16"/>
      <c r="G55" s="16"/>
      <c r="H55" s="17" t="s">
        <v>114</v>
      </c>
      <c r="I55" s="10">
        <f t="shared" si="0"/>
        <v>3</v>
      </c>
      <c r="J55" s="10" t="s">
        <v>124</v>
      </c>
    </row>
    <row r="56" spans="1:10" x14ac:dyDescent="0.35">
      <c r="A56" s="15" t="s">
        <v>133</v>
      </c>
      <c r="B56" s="15" t="s">
        <v>118</v>
      </c>
      <c r="C56" s="16"/>
      <c r="D56" s="17" t="s">
        <v>114</v>
      </c>
      <c r="E56" s="17" t="s">
        <v>114</v>
      </c>
      <c r="F56" s="16"/>
      <c r="G56" s="17" t="s">
        <v>114</v>
      </c>
      <c r="H56" s="17" t="s">
        <v>114</v>
      </c>
      <c r="I56" s="10">
        <f t="shared" si="0"/>
        <v>4</v>
      </c>
      <c r="J56" s="10" t="s">
        <v>124</v>
      </c>
    </row>
    <row r="57" spans="1:10" x14ac:dyDescent="0.35">
      <c r="A57" s="15" t="s">
        <v>133</v>
      </c>
      <c r="B57" s="15" t="s">
        <v>121</v>
      </c>
      <c r="C57" s="16"/>
      <c r="D57" s="17" t="s">
        <v>114</v>
      </c>
      <c r="E57" s="17" t="s">
        <v>114</v>
      </c>
      <c r="F57" s="16"/>
      <c r="G57" s="16"/>
      <c r="H57" s="17" t="s">
        <v>114</v>
      </c>
      <c r="I57" s="10">
        <f t="shared" si="0"/>
        <v>3</v>
      </c>
      <c r="J57" s="10" t="s">
        <v>124</v>
      </c>
    </row>
    <row r="58" spans="1:10" x14ac:dyDescent="0.35">
      <c r="A58" s="15" t="s">
        <v>134</v>
      </c>
      <c r="B58" s="15" t="s">
        <v>113</v>
      </c>
      <c r="C58" s="16"/>
      <c r="D58" s="16"/>
      <c r="E58" s="17" t="s">
        <v>114</v>
      </c>
      <c r="F58" s="16"/>
      <c r="G58" s="17" t="s">
        <v>114</v>
      </c>
      <c r="H58" s="17" t="s">
        <v>114</v>
      </c>
      <c r="I58" s="10">
        <f t="shared" si="0"/>
        <v>3</v>
      </c>
      <c r="J58" s="10" t="s">
        <v>115</v>
      </c>
    </row>
    <row r="59" spans="1:10" x14ac:dyDescent="0.35">
      <c r="A59" s="15" t="s">
        <v>134</v>
      </c>
      <c r="B59" s="15" t="s">
        <v>116</v>
      </c>
      <c r="C59" s="16"/>
      <c r="D59" s="16"/>
      <c r="E59" s="17" t="s">
        <v>114</v>
      </c>
      <c r="F59" s="16"/>
      <c r="G59" s="17" t="s">
        <v>114</v>
      </c>
      <c r="H59" s="17" t="s">
        <v>114</v>
      </c>
      <c r="I59" s="10">
        <f t="shared" si="0"/>
        <v>3</v>
      </c>
      <c r="J59" s="10" t="s">
        <v>115</v>
      </c>
    </row>
    <row r="60" spans="1:10" x14ac:dyDescent="0.35">
      <c r="A60" s="15" t="s">
        <v>134</v>
      </c>
      <c r="B60" s="15" t="s">
        <v>117</v>
      </c>
      <c r="C60" s="16"/>
      <c r="D60" s="16"/>
      <c r="E60" s="17" t="s">
        <v>114</v>
      </c>
      <c r="F60" s="16"/>
      <c r="G60" s="17" t="s">
        <v>114</v>
      </c>
      <c r="H60" s="17" t="s">
        <v>114</v>
      </c>
      <c r="I60" s="10">
        <f t="shared" si="0"/>
        <v>3</v>
      </c>
      <c r="J60" s="10" t="s">
        <v>115</v>
      </c>
    </row>
    <row r="61" spans="1:10" x14ac:dyDescent="0.35">
      <c r="A61" s="15" t="s">
        <v>134</v>
      </c>
      <c r="B61" s="15" t="s">
        <v>118</v>
      </c>
      <c r="C61" s="16"/>
      <c r="D61" s="16"/>
      <c r="E61" s="17" t="s">
        <v>114</v>
      </c>
      <c r="F61" s="16"/>
      <c r="G61" s="17" t="s">
        <v>114</v>
      </c>
      <c r="H61" s="17" t="s">
        <v>114</v>
      </c>
      <c r="I61" s="10">
        <f t="shared" si="0"/>
        <v>3</v>
      </c>
      <c r="J61" s="10" t="s">
        <v>115</v>
      </c>
    </row>
    <row r="62" spans="1:10" x14ac:dyDescent="0.35">
      <c r="A62" s="15" t="s">
        <v>134</v>
      </c>
      <c r="B62" s="15" t="s">
        <v>119</v>
      </c>
      <c r="C62" s="16"/>
      <c r="D62" s="16"/>
      <c r="E62" s="17" t="s">
        <v>114</v>
      </c>
      <c r="F62" s="16"/>
      <c r="G62" s="17" t="s">
        <v>114</v>
      </c>
      <c r="H62" s="17" t="s">
        <v>114</v>
      </c>
      <c r="I62" s="10">
        <f t="shared" si="0"/>
        <v>3</v>
      </c>
      <c r="J62" s="10" t="s">
        <v>115</v>
      </c>
    </row>
    <row r="63" spans="1:10" x14ac:dyDescent="0.35">
      <c r="A63" s="15" t="s">
        <v>134</v>
      </c>
      <c r="B63" s="15" t="s">
        <v>120</v>
      </c>
      <c r="C63" s="16"/>
      <c r="D63" s="16"/>
      <c r="E63" s="17" t="s">
        <v>114</v>
      </c>
      <c r="F63" s="16"/>
      <c r="G63" s="17" t="s">
        <v>114</v>
      </c>
      <c r="H63" s="17" t="s">
        <v>114</v>
      </c>
      <c r="I63" s="10">
        <f t="shared" si="0"/>
        <v>3</v>
      </c>
      <c r="J63" s="10" t="s">
        <v>115</v>
      </c>
    </row>
    <row r="64" spans="1:10" x14ac:dyDescent="0.35">
      <c r="A64" s="15" t="s">
        <v>134</v>
      </c>
      <c r="B64" s="15" t="s">
        <v>121</v>
      </c>
      <c r="C64" s="16"/>
      <c r="D64" s="16"/>
      <c r="E64" s="17" t="s">
        <v>114</v>
      </c>
      <c r="F64" s="16"/>
      <c r="G64" s="17" t="s">
        <v>114</v>
      </c>
      <c r="H64" s="17" t="s">
        <v>114</v>
      </c>
      <c r="I64" s="10">
        <f t="shared" si="0"/>
        <v>3</v>
      </c>
      <c r="J64" s="10" t="s">
        <v>115</v>
      </c>
    </row>
    <row r="65" spans="1:10" x14ac:dyDescent="0.35">
      <c r="A65" s="15" t="s">
        <v>135</v>
      </c>
      <c r="B65" s="15" t="s">
        <v>113</v>
      </c>
      <c r="C65" s="16"/>
      <c r="D65" s="16"/>
      <c r="E65" s="17" t="s">
        <v>114</v>
      </c>
      <c r="F65" s="16"/>
      <c r="G65" s="17" t="s">
        <v>114</v>
      </c>
      <c r="H65" s="17" t="s">
        <v>114</v>
      </c>
      <c r="I65" s="10">
        <f t="shared" si="0"/>
        <v>3</v>
      </c>
      <c r="J65" s="10" t="s">
        <v>115</v>
      </c>
    </row>
    <row r="66" spans="1:10" x14ac:dyDescent="0.35">
      <c r="A66" s="15" t="s">
        <v>135</v>
      </c>
      <c r="B66" s="15" t="s">
        <v>116</v>
      </c>
      <c r="C66" s="16"/>
      <c r="D66" s="16"/>
      <c r="E66" s="17" t="s">
        <v>114</v>
      </c>
      <c r="F66" s="16"/>
      <c r="G66" s="17" t="s">
        <v>114</v>
      </c>
      <c r="H66" s="17" t="s">
        <v>114</v>
      </c>
      <c r="I66" s="10">
        <f t="shared" ref="I66:I129" si="1">COUNTIF(C66:H66,"✓")</f>
        <v>3</v>
      </c>
      <c r="J66" s="10" t="s">
        <v>115</v>
      </c>
    </row>
    <row r="67" spans="1:10" x14ac:dyDescent="0.35">
      <c r="A67" s="15" t="s">
        <v>135</v>
      </c>
      <c r="B67" s="15" t="s">
        <v>117</v>
      </c>
      <c r="C67" s="16"/>
      <c r="D67" s="16"/>
      <c r="E67" s="17" t="s">
        <v>114</v>
      </c>
      <c r="F67" s="16"/>
      <c r="G67" s="17" t="s">
        <v>114</v>
      </c>
      <c r="H67" s="17" t="s">
        <v>114</v>
      </c>
      <c r="I67" s="10">
        <f t="shared" si="1"/>
        <v>3</v>
      </c>
      <c r="J67" s="10" t="s">
        <v>115</v>
      </c>
    </row>
    <row r="68" spans="1:10" x14ac:dyDescent="0.35">
      <c r="A68" s="15" t="s">
        <v>135</v>
      </c>
      <c r="B68" s="15" t="s">
        <v>118</v>
      </c>
      <c r="C68" s="16"/>
      <c r="D68" s="16"/>
      <c r="E68" s="17" t="s">
        <v>114</v>
      </c>
      <c r="F68" s="16"/>
      <c r="G68" s="17" t="s">
        <v>114</v>
      </c>
      <c r="H68" s="17" t="s">
        <v>114</v>
      </c>
      <c r="I68" s="10">
        <f t="shared" si="1"/>
        <v>3</v>
      </c>
      <c r="J68" s="10" t="s">
        <v>115</v>
      </c>
    </row>
    <row r="69" spans="1:10" x14ac:dyDescent="0.35">
      <c r="A69" s="15" t="s">
        <v>135</v>
      </c>
      <c r="B69" s="15" t="s">
        <v>119</v>
      </c>
      <c r="C69" s="16"/>
      <c r="D69" s="16"/>
      <c r="E69" s="17" t="s">
        <v>114</v>
      </c>
      <c r="F69" s="16"/>
      <c r="G69" s="17" t="s">
        <v>114</v>
      </c>
      <c r="H69" s="17" t="s">
        <v>114</v>
      </c>
      <c r="I69" s="10">
        <f t="shared" si="1"/>
        <v>3</v>
      </c>
      <c r="J69" s="10" t="s">
        <v>115</v>
      </c>
    </row>
    <row r="70" spans="1:10" x14ac:dyDescent="0.35">
      <c r="A70" s="15" t="s">
        <v>135</v>
      </c>
      <c r="B70" s="15" t="s">
        <v>120</v>
      </c>
      <c r="C70" s="16"/>
      <c r="D70" s="16"/>
      <c r="E70" s="17" t="s">
        <v>114</v>
      </c>
      <c r="F70" s="16"/>
      <c r="G70" s="17" t="s">
        <v>114</v>
      </c>
      <c r="H70" s="17" t="s">
        <v>114</v>
      </c>
      <c r="I70" s="10">
        <f t="shared" si="1"/>
        <v>3</v>
      </c>
      <c r="J70" s="10" t="s">
        <v>115</v>
      </c>
    </row>
    <row r="71" spans="1:10" x14ac:dyDescent="0.35">
      <c r="A71" s="15" t="s">
        <v>135</v>
      </c>
      <c r="B71" s="15" t="s">
        <v>121</v>
      </c>
      <c r="C71" s="16"/>
      <c r="D71" s="16"/>
      <c r="E71" s="17" t="s">
        <v>114</v>
      </c>
      <c r="F71" s="16"/>
      <c r="G71" s="17" t="s">
        <v>114</v>
      </c>
      <c r="H71" s="17" t="s">
        <v>114</v>
      </c>
      <c r="I71" s="10">
        <f t="shared" si="1"/>
        <v>3</v>
      </c>
      <c r="J71" s="10" t="s">
        <v>115</v>
      </c>
    </row>
    <row r="72" spans="1:10" x14ac:dyDescent="0.35">
      <c r="A72" s="15" t="s">
        <v>136</v>
      </c>
      <c r="B72" s="15" t="s">
        <v>113</v>
      </c>
      <c r="C72" s="16"/>
      <c r="D72" s="17" t="s">
        <v>114</v>
      </c>
      <c r="E72" s="17" t="s">
        <v>114</v>
      </c>
      <c r="F72" s="16"/>
      <c r="G72" s="16"/>
      <c r="H72" s="17" t="s">
        <v>114</v>
      </c>
      <c r="I72" s="10">
        <f t="shared" si="1"/>
        <v>3</v>
      </c>
      <c r="J72" s="10" t="s">
        <v>115</v>
      </c>
    </row>
    <row r="73" spans="1:10" x14ac:dyDescent="0.35">
      <c r="A73" s="15" t="s">
        <v>136</v>
      </c>
      <c r="B73" s="15" t="s">
        <v>116</v>
      </c>
      <c r="C73" s="16"/>
      <c r="D73" s="17" t="s">
        <v>114</v>
      </c>
      <c r="E73" s="17" t="s">
        <v>114</v>
      </c>
      <c r="F73" s="16"/>
      <c r="G73" s="16"/>
      <c r="H73" s="17" t="s">
        <v>114</v>
      </c>
      <c r="I73" s="10">
        <f t="shared" si="1"/>
        <v>3</v>
      </c>
      <c r="J73" s="10" t="s">
        <v>115</v>
      </c>
    </row>
    <row r="74" spans="1:10" x14ac:dyDescent="0.35">
      <c r="A74" s="15" t="s">
        <v>136</v>
      </c>
      <c r="B74" s="15" t="s">
        <v>117</v>
      </c>
      <c r="C74" s="16"/>
      <c r="D74" s="17" t="s">
        <v>114</v>
      </c>
      <c r="E74" s="17" t="s">
        <v>114</v>
      </c>
      <c r="F74" s="16"/>
      <c r="G74" s="16"/>
      <c r="H74" s="17" t="s">
        <v>114</v>
      </c>
      <c r="I74" s="10">
        <f t="shared" si="1"/>
        <v>3</v>
      </c>
      <c r="J74" s="10" t="s">
        <v>115</v>
      </c>
    </row>
    <row r="75" spans="1:10" x14ac:dyDescent="0.35">
      <c r="A75" s="15" t="s">
        <v>136</v>
      </c>
      <c r="B75" s="15" t="s">
        <v>118</v>
      </c>
      <c r="C75" s="16"/>
      <c r="D75" s="17" t="s">
        <v>114</v>
      </c>
      <c r="E75" s="17" t="s">
        <v>114</v>
      </c>
      <c r="F75" s="16"/>
      <c r="G75" s="16"/>
      <c r="H75" s="17" t="s">
        <v>114</v>
      </c>
      <c r="I75" s="10">
        <f t="shared" si="1"/>
        <v>3</v>
      </c>
      <c r="J75" s="10" t="s">
        <v>115</v>
      </c>
    </row>
    <row r="76" spans="1:10" x14ac:dyDescent="0.35">
      <c r="A76" s="15" t="s">
        <v>136</v>
      </c>
      <c r="B76" s="15" t="s">
        <v>119</v>
      </c>
      <c r="C76" s="16"/>
      <c r="D76" s="17" t="s">
        <v>114</v>
      </c>
      <c r="E76" s="17" t="s">
        <v>114</v>
      </c>
      <c r="F76" s="16"/>
      <c r="G76" s="16"/>
      <c r="H76" s="17" t="s">
        <v>114</v>
      </c>
      <c r="I76" s="10">
        <f t="shared" si="1"/>
        <v>3</v>
      </c>
      <c r="J76" s="10" t="s">
        <v>115</v>
      </c>
    </row>
    <row r="77" spans="1:10" x14ac:dyDescent="0.35">
      <c r="A77" s="15" t="s">
        <v>136</v>
      </c>
      <c r="B77" s="15" t="s">
        <v>120</v>
      </c>
      <c r="C77" s="16"/>
      <c r="D77" s="17" t="s">
        <v>114</v>
      </c>
      <c r="E77" s="17" t="s">
        <v>114</v>
      </c>
      <c r="F77" s="16"/>
      <c r="G77" s="16"/>
      <c r="H77" s="17" t="s">
        <v>114</v>
      </c>
      <c r="I77" s="10">
        <f t="shared" si="1"/>
        <v>3</v>
      </c>
      <c r="J77" s="10" t="s">
        <v>115</v>
      </c>
    </row>
    <row r="78" spans="1:10" x14ac:dyDescent="0.35">
      <c r="A78" s="15" t="s">
        <v>136</v>
      </c>
      <c r="B78" s="15" t="s">
        <v>121</v>
      </c>
      <c r="C78" s="16"/>
      <c r="D78" s="17" t="s">
        <v>114</v>
      </c>
      <c r="E78" s="17" t="s">
        <v>114</v>
      </c>
      <c r="F78" s="16"/>
      <c r="G78" s="16"/>
      <c r="H78" s="17" t="s">
        <v>114</v>
      </c>
      <c r="I78" s="10">
        <f t="shared" si="1"/>
        <v>3</v>
      </c>
      <c r="J78" s="10" t="s">
        <v>115</v>
      </c>
    </row>
    <row r="79" spans="1:10" x14ac:dyDescent="0.35">
      <c r="A79" s="15" t="s">
        <v>137</v>
      </c>
      <c r="B79" s="15" t="s">
        <v>113</v>
      </c>
      <c r="C79" s="16"/>
      <c r="D79" s="17" t="s">
        <v>114</v>
      </c>
      <c r="E79" s="17" t="s">
        <v>114</v>
      </c>
      <c r="F79" s="16"/>
      <c r="G79" s="16"/>
      <c r="H79" s="17" t="s">
        <v>114</v>
      </c>
      <c r="I79" s="10">
        <f t="shared" si="1"/>
        <v>3</v>
      </c>
      <c r="J79" s="10" t="s">
        <v>124</v>
      </c>
    </row>
    <row r="80" spans="1:10" x14ac:dyDescent="0.35">
      <c r="A80" s="15" t="s">
        <v>137</v>
      </c>
      <c r="B80" s="15" t="s">
        <v>125</v>
      </c>
      <c r="C80" s="16"/>
      <c r="D80" s="17" t="s">
        <v>114</v>
      </c>
      <c r="E80" s="17" t="s">
        <v>114</v>
      </c>
      <c r="F80" s="16"/>
      <c r="G80" s="16"/>
      <c r="H80" s="17" t="s">
        <v>114</v>
      </c>
      <c r="I80" s="10">
        <f t="shared" si="1"/>
        <v>3</v>
      </c>
      <c r="J80" s="10" t="s">
        <v>124</v>
      </c>
    </row>
    <row r="81" spans="1:10" x14ac:dyDescent="0.35">
      <c r="A81" s="15" t="s">
        <v>137</v>
      </c>
      <c r="B81" s="15" t="s">
        <v>118</v>
      </c>
      <c r="C81" s="16"/>
      <c r="D81" s="17" t="s">
        <v>114</v>
      </c>
      <c r="E81" s="17" t="s">
        <v>114</v>
      </c>
      <c r="F81" s="16"/>
      <c r="G81" s="16"/>
      <c r="H81" s="17" t="s">
        <v>114</v>
      </c>
      <c r="I81" s="10">
        <f t="shared" si="1"/>
        <v>3</v>
      </c>
      <c r="J81" s="10" t="s">
        <v>124</v>
      </c>
    </row>
    <row r="82" spans="1:10" x14ac:dyDescent="0.35">
      <c r="A82" s="15" t="s">
        <v>137</v>
      </c>
      <c r="B82" s="15" t="s">
        <v>121</v>
      </c>
      <c r="C82" s="16"/>
      <c r="D82" s="17" t="s">
        <v>114</v>
      </c>
      <c r="E82" s="17" t="s">
        <v>114</v>
      </c>
      <c r="F82" s="16"/>
      <c r="G82" s="16"/>
      <c r="H82" s="17" t="s">
        <v>114</v>
      </c>
      <c r="I82" s="10">
        <f t="shared" si="1"/>
        <v>3</v>
      </c>
      <c r="J82" s="10" t="s">
        <v>124</v>
      </c>
    </row>
    <row r="83" spans="1:10" x14ac:dyDescent="0.35">
      <c r="A83" s="15" t="s">
        <v>138</v>
      </c>
      <c r="B83" s="15" t="s">
        <v>113</v>
      </c>
      <c r="C83" s="16"/>
      <c r="D83" s="17" t="s">
        <v>114</v>
      </c>
      <c r="E83" s="17" t="s">
        <v>114</v>
      </c>
      <c r="F83" s="17" t="s">
        <v>114</v>
      </c>
      <c r="G83" s="16"/>
      <c r="H83" s="17" t="s">
        <v>114</v>
      </c>
      <c r="I83" s="10">
        <f t="shared" si="1"/>
        <v>4</v>
      </c>
      <c r="J83" s="10" t="s">
        <v>124</v>
      </c>
    </row>
    <row r="84" spans="1:10" x14ac:dyDescent="0.35">
      <c r="A84" s="15" t="s">
        <v>138</v>
      </c>
      <c r="B84" s="15" t="s">
        <v>125</v>
      </c>
      <c r="C84" s="16"/>
      <c r="D84" s="17" t="s">
        <v>114</v>
      </c>
      <c r="E84" s="17" t="s">
        <v>114</v>
      </c>
      <c r="F84" s="17" t="s">
        <v>114</v>
      </c>
      <c r="G84" s="16"/>
      <c r="H84" s="17" t="s">
        <v>114</v>
      </c>
      <c r="I84" s="10">
        <f t="shared" si="1"/>
        <v>4</v>
      </c>
      <c r="J84" s="10" t="s">
        <v>124</v>
      </c>
    </row>
    <row r="85" spans="1:10" x14ac:dyDescent="0.35">
      <c r="A85" s="15" t="s">
        <v>138</v>
      </c>
      <c r="B85" s="15" t="s">
        <v>118</v>
      </c>
      <c r="C85" s="16"/>
      <c r="D85" s="17" t="s">
        <v>114</v>
      </c>
      <c r="E85" s="17" t="s">
        <v>114</v>
      </c>
      <c r="F85" s="17" t="s">
        <v>114</v>
      </c>
      <c r="G85" s="16"/>
      <c r="H85" s="17" t="s">
        <v>114</v>
      </c>
      <c r="I85" s="10">
        <f t="shared" si="1"/>
        <v>4</v>
      </c>
      <c r="J85" s="10" t="s">
        <v>124</v>
      </c>
    </row>
    <row r="86" spans="1:10" x14ac:dyDescent="0.35">
      <c r="A86" s="15" t="s">
        <v>138</v>
      </c>
      <c r="B86" s="15" t="s">
        <v>121</v>
      </c>
      <c r="C86" s="16"/>
      <c r="D86" s="17" t="s">
        <v>114</v>
      </c>
      <c r="E86" s="17" t="s">
        <v>114</v>
      </c>
      <c r="F86" s="17" t="s">
        <v>114</v>
      </c>
      <c r="G86" s="16"/>
      <c r="H86" s="17" t="s">
        <v>114</v>
      </c>
      <c r="I86" s="10">
        <f t="shared" si="1"/>
        <v>4</v>
      </c>
      <c r="J86" s="10" t="s">
        <v>124</v>
      </c>
    </row>
    <row r="87" spans="1:10" x14ac:dyDescent="0.35">
      <c r="A87" s="15" t="s">
        <v>139</v>
      </c>
      <c r="B87" s="15" t="s">
        <v>113</v>
      </c>
      <c r="C87" s="16"/>
      <c r="D87" s="17" t="s">
        <v>114</v>
      </c>
      <c r="E87" s="17" t="s">
        <v>114</v>
      </c>
      <c r="F87" s="16"/>
      <c r="G87" s="16"/>
      <c r="H87" s="17" t="s">
        <v>114</v>
      </c>
      <c r="I87" s="10">
        <f t="shared" si="1"/>
        <v>3</v>
      </c>
      <c r="J87" s="10" t="s">
        <v>124</v>
      </c>
    </row>
    <row r="88" spans="1:10" x14ac:dyDescent="0.35">
      <c r="A88" s="15" t="s">
        <v>139</v>
      </c>
      <c r="B88" s="15" t="s">
        <v>125</v>
      </c>
      <c r="C88" s="16"/>
      <c r="D88" s="17" t="s">
        <v>114</v>
      </c>
      <c r="E88" s="17" t="s">
        <v>114</v>
      </c>
      <c r="F88" s="16"/>
      <c r="G88" s="16"/>
      <c r="H88" s="17" t="s">
        <v>114</v>
      </c>
      <c r="I88" s="10">
        <f t="shared" si="1"/>
        <v>3</v>
      </c>
      <c r="J88" s="10" t="s">
        <v>124</v>
      </c>
    </row>
    <row r="89" spans="1:10" x14ac:dyDescent="0.35">
      <c r="A89" s="15" t="s">
        <v>139</v>
      </c>
      <c r="B89" s="15" t="s">
        <v>118</v>
      </c>
      <c r="C89" s="16"/>
      <c r="D89" s="17" t="s">
        <v>114</v>
      </c>
      <c r="E89" s="17" t="s">
        <v>114</v>
      </c>
      <c r="F89" s="16"/>
      <c r="G89" s="16"/>
      <c r="H89" s="17" t="s">
        <v>114</v>
      </c>
      <c r="I89" s="10">
        <f t="shared" si="1"/>
        <v>3</v>
      </c>
      <c r="J89" s="10" t="s">
        <v>124</v>
      </c>
    </row>
    <row r="90" spans="1:10" x14ac:dyDescent="0.35">
      <c r="A90" s="15" t="s">
        <v>139</v>
      </c>
      <c r="B90" s="15" t="s">
        <v>121</v>
      </c>
      <c r="C90" s="16"/>
      <c r="D90" s="17" t="s">
        <v>114</v>
      </c>
      <c r="E90" s="17" t="s">
        <v>114</v>
      </c>
      <c r="F90" s="16"/>
      <c r="G90" s="16"/>
      <c r="H90" s="17" t="s">
        <v>114</v>
      </c>
      <c r="I90" s="10">
        <f t="shared" si="1"/>
        <v>3</v>
      </c>
      <c r="J90" s="10" t="s">
        <v>124</v>
      </c>
    </row>
    <row r="91" spans="1:10" x14ac:dyDescent="0.35">
      <c r="A91" s="15" t="s">
        <v>140</v>
      </c>
      <c r="B91" s="15" t="s">
        <v>113</v>
      </c>
      <c r="C91" s="16"/>
      <c r="D91" s="17" t="s">
        <v>114</v>
      </c>
      <c r="E91" s="17" t="s">
        <v>114</v>
      </c>
      <c r="F91" s="16"/>
      <c r="G91" s="16"/>
      <c r="H91" s="17" t="s">
        <v>114</v>
      </c>
      <c r="I91" s="10">
        <f t="shared" si="1"/>
        <v>3</v>
      </c>
      <c r="J91" s="10" t="s">
        <v>124</v>
      </c>
    </row>
    <row r="92" spans="1:10" x14ac:dyDescent="0.35">
      <c r="A92" s="15" t="s">
        <v>140</v>
      </c>
      <c r="B92" s="15" t="s">
        <v>125</v>
      </c>
      <c r="C92" s="16"/>
      <c r="D92" s="17" t="s">
        <v>114</v>
      </c>
      <c r="E92" s="17" t="s">
        <v>114</v>
      </c>
      <c r="F92" s="16"/>
      <c r="G92" s="16"/>
      <c r="H92" s="17" t="s">
        <v>114</v>
      </c>
      <c r="I92" s="10">
        <f t="shared" si="1"/>
        <v>3</v>
      </c>
      <c r="J92" s="10" t="s">
        <v>124</v>
      </c>
    </row>
    <row r="93" spans="1:10" x14ac:dyDescent="0.35">
      <c r="A93" s="15" t="s">
        <v>140</v>
      </c>
      <c r="B93" s="15" t="s">
        <v>118</v>
      </c>
      <c r="C93" s="16"/>
      <c r="D93" s="17" t="s">
        <v>114</v>
      </c>
      <c r="E93" s="17" t="s">
        <v>114</v>
      </c>
      <c r="F93" s="16"/>
      <c r="G93" s="16"/>
      <c r="H93" s="17" t="s">
        <v>114</v>
      </c>
      <c r="I93" s="10">
        <f t="shared" si="1"/>
        <v>3</v>
      </c>
      <c r="J93" s="10" t="s">
        <v>124</v>
      </c>
    </row>
    <row r="94" spans="1:10" x14ac:dyDescent="0.35">
      <c r="A94" s="15" t="s">
        <v>140</v>
      </c>
      <c r="B94" s="15" t="s">
        <v>121</v>
      </c>
      <c r="C94" s="16"/>
      <c r="D94" s="17" t="s">
        <v>114</v>
      </c>
      <c r="E94" s="17" t="s">
        <v>114</v>
      </c>
      <c r="F94" s="16"/>
      <c r="G94" s="16"/>
      <c r="H94" s="17" t="s">
        <v>114</v>
      </c>
      <c r="I94" s="10">
        <f t="shared" si="1"/>
        <v>3</v>
      </c>
      <c r="J94" s="10" t="s">
        <v>124</v>
      </c>
    </row>
    <row r="95" spans="1:10" x14ac:dyDescent="0.35">
      <c r="A95" s="15" t="s">
        <v>141</v>
      </c>
      <c r="B95" s="15" t="s">
        <v>113</v>
      </c>
      <c r="C95" s="16"/>
      <c r="D95" s="17" t="s">
        <v>114</v>
      </c>
      <c r="E95" s="17" t="s">
        <v>114</v>
      </c>
      <c r="F95" s="16"/>
      <c r="G95" s="16"/>
      <c r="H95" s="17" t="s">
        <v>114</v>
      </c>
      <c r="I95" s="10">
        <f t="shared" si="1"/>
        <v>3</v>
      </c>
      <c r="J95" s="10" t="s">
        <v>115</v>
      </c>
    </row>
    <row r="96" spans="1:10" x14ac:dyDescent="0.35">
      <c r="A96" s="15" t="s">
        <v>141</v>
      </c>
      <c r="B96" s="15" t="s">
        <v>116</v>
      </c>
      <c r="C96" s="16"/>
      <c r="D96" s="17" t="s">
        <v>114</v>
      </c>
      <c r="E96" s="17" t="s">
        <v>114</v>
      </c>
      <c r="F96" s="16"/>
      <c r="G96" s="16"/>
      <c r="H96" s="17" t="s">
        <v>114</v>
      </c>
      <c r="I96" s="10">
        <f t="shared" si="1"/>
        <v>3</v>
      </c>
      <c r="J96" s="10" t="s">
        <v>115</v>
      </c>
    </row>
    <row r="97" spans="1:10" x14ac:dyDescent="0.35">
      <c r="A97" s="15" t="s">
        <v>141</v>
      </c>
      <c r="B97" s="15" t="s">
        <v>117</v>
      </c>
      <c r="C97" s="16"/>
      <c r="D97" s="17" t="s">
        <v>114</v>
      </c>
      <c r="E97" s="17" t="s">
        <v>114</v>
      </c>
      <c r="F97" s="16"/>
      <c r="G97" s="16"/>
      <c r="H97" s="17" t="s">
        <v>114</v>
      </c>
      <c r="I97" s="10">
        <f t="shared" si="1"/>
        <v>3</v>
      </c>
      <c r="J97" s="10" t="s">
        <v>115</v>
      </c>
    </row>
    <row r="98" spans="1:10" x14ac:dyDescent="0.35">
      <c r="A98" s="15" t="s">
        <v>141</v>
      </c>
      <c r="B98" s="15" t="s">
        <v>118</v>
      </c>
      <c r="C98" s="16"/>
      <c r="D98" s="17" t="s">
        <v>114</v>
      </c>
      <c r="E98" s="17" t="s">
        <v>114</v>
      </c>
      <c r="F98" s="16"/>
      <c r="G98" s="16"/>
      <c r="H98" s="17" t="s">
        <v>114</v>
      </c>
      <c r="I98" s="10">
        <f t="shared" si="1"/>
        <v>3</v>
      </c>
      <c r="J98" s="10" t="s">
        <v>115</v>
      </c>
    </row>
    <row r="99" spans="1:10" x14ac:dyDescent="0.35">
      <c r="A99" s="15" t="s">
        <v>141</v>
      </c>
      <c r="B99" s="15" t="s">
        <v>119</v>
      </c>
      <c r="C99" s="16"/>
      <c r="D99" s="17" t="s">
        <v>114</v>
      </c>
      <c r="E99" s="17" t="s">
        <v>114</v>
      </c>
      <c r="F99" s="16"/>
      <c r="G99" s="16"/>
      <c r="H99" s="17" t="s">
        <v>114</v>
      </c>
      <c r="I99" s="10">
        <f t="shared" si="1"/>
        <v>3</v>
      </c>
      <c r="J99" s="10" t="s">
        <v>115</v>
      </c>
    </row>
    <row r="100" spans="1:10" x14ac:dyDescent="0.35">
      <c r="A100" s="15" t="s">
        <v>141</v>
      </c>
      <c r="B100" s="15" t="s">
        <v>120</v>
      </c>
      <c r="C100" s="16"/>
      <c r="D100" s="17" t="s">
        <v>114</v>
      </c>
      <c r="E100" s="17" t="s">
        <v>114</v>
      </c>
      <c r="F100" s="16"/>
      <c r="G100" s="16"/>
      <c r="H100" s="17" t="s">
        <v>114</v>
      </c>
      <c r="I100" s="10">
        <f t="shared" si="1"/>
        <v>3</v>
      </c>
      <c r="J100" s="10" t="s">
        <v>115</v>
      </c>
    </row>
    <row r="101" spans="1:10" x14ac:dyDescent="0.35">
      <c r="A101" s="15" t="s">
        <v>141</v>
      </c>
      <c r="B101" s="15" t="s">
        <v>121</v>
      </c>
      <c r="C101" s="16"/>
      <c r="D101" s="17" t="s">
        <v>114</v>
      </c>
      <c r="E101" s="17" t="s">
        <v>114</v>
      </c>
      <c r="F101" s="16"/>
      <c r="G101" s="16"/>
      <c r="H101" s="17" t="s">
        <v>114</v>
      </c>
      <c r="I101" s="10">
        <f t="shared" si="1"/>
        <v>3</v>
      </c>
      <c r="J101" s="10" t="s">
        <v>115</v>
      </c>
    </row>
    <row r="102" spans="1:10" x14ac:dyDescent="0.35">
      <c r="A102" s="15" t="s">
        <v>142</v>
      </c>
      <c r="B102" s="15" t="s">
        <v>113</v>
      </c>
      <c r="C102" s="16"/>
      <c r="D102" s="16"/>
      <c r="E102" s="17" t="s">
        <v>114</v>
      </c>
      <c r="F102" s="16"/>
      <c r="G102" s="17" t="s">
        <v>114</v>
      </c>
      <c r="H102" s="17" t="s">
        <v>114</v>
      </c>
      <c r="I102" s="10">
        <f t="shared" si="1"/>
        <v>3</v>
      </c>
      <c r="J102" s="10" t="s">
        <v>143</v>
      </c>
    </row>
    <row r="103" spans="1:10" x14ac:dyDescent="0.35">
      <c r="A103" s="15" t="s">
        <v>144</v>
      </c>
      <c r="B103" s="15" t="s">
        <v>113</v>
      </c>
      <c r="C103" s="16"/>
      <c r="D103" s="16"/>
      <c r="E103" s="16"/>
      <c r="F103" s="16"/>
      <c r="G103" s="16"/>
      <c r="H103" s="17" t="s">
        <v>114</v>
      </c>
      <c r="I103" s="10">
        <f t="shared" si="1"/>
        <v>1</v>
      </c>
      <c r="J103" s="10" t="s">
        <v>143</v>
      </c>
    </row>
    <row r="104" spans="1:10" x14ac:dyDescent="0.35">
      <c r="A104" s="15" t="s">
        <v>145</v>
      </c>
      <c r="B104" s="15" t="s">
        <v>113</v>
      </c>
      <c r="C104" s="16"/>
      <c r="D104" s="17" t="s">
        <v>114</v>
      </c>
      <c r="E104" s="17" t="s">
        <v>114</v>
      </c>
      <c r="F104" s="16"/>
      <c r="G104" s="16"/>
      <c r="H104" s="17" t="s">
        <v>114</v>
      </c>
      <c r="I104" s="10">
        <f t="shared" si="1"/>
        <v>3</v>
      </c>
      <c r="J104" s="10" t="s">
        <v>115</v>
      </c>
    </row>
    <row r="105" spans="1:10" x14ac:dyDescent="0.35">
      <c r="A105" s="15" t="s">
        <v>145</v>
      </c>
      <c r="B105" s="15" t="s">
        <v>116</v>
      </c>
      <c r="C105" s="16"/>
      <c r="D105" s="17" t="s">
        <v>114</v>
      </c>
      <c r="E105" s="17" t="s">
        <v>114</v>
      </c>
      <c r="F105" s="16"/>
      <c r="G105" s="16"/>
      <c r="H105" s="17" t="s">
        <v>114</v>
      </c>
      <c r="I105" s="10">
        <f t="shared" si="1"/>
        <v>3</v>
      </c>
      <c r="J105" s="10" t="s">
        <v>115</v>
      </c>
    </row>
    <row r="106" spans="1:10" x14ac:dyDescent="0.35">
      <c r="A106" s="15" t="s">
        <v>145</v>
      </c>
      <c r="B106" s="15" t="s">
        <v>117</v>
      </c>
      <c r="C106" s="16"/>
      <c r="D106" s="17" t="s">
        <v>114</v>
      </c>
      <c r="E106" s="17" t="s">
        <v>114</v>
      </c>
      <c r="F106" s="16"/>
      <c r="G106" s="16"/>
      <c r="H106" s="17" t="s">
        <v>114</v>
      </c>
      <c r="I106" s="10">
        <f t="shared" si="1"/>
        <v>3</v>
      </c>
      <c r="J106" s="10" t="s">
        <v>115</v>
      </c>
    </row>
    <row r="107" spans="1:10" x14ac:dyDescent="0.35">
      <c r="A107" s="15" t="s">
        <v>145</v>
      </c>
      <c r="B107" s="15" t="s">
        <v>118</v>
      </c>
      <c r="C107" s="16"/>
      <c r="D107" s="17" t="s">
        <v>114</v>
      </c>
      <c r="E107" s="17" t="s">
        <v>114</v>
      </c>
      <c r="F107" s="16"/>
      <c r="G107" s="16"/>
      <c r="H107" s="17" t="s">
        <v>114</v>
      </c>
      <c r="I107" s="10">
        <f t="shared" si="1"/>
        <v>3</v>
      </c>
      <c r="J107" s="10" t="s">
        <v>115</v>
      </c>
    </row>
    <row r="108" spans="1:10" x14ac:dyDescent="0.35">
      <c r="A108" s="15" t="s">
        <v>145</v>
      </c>
      <c r="B108" s="15" t="s">
        <v>119</v>
      </c>
      <c r="C108" s="16"/>
      <c r="D108" s="17" t="s">
        <v>114</v>
      </c>
      <c r="E108" s="17" t="s">
        <v>114</v>
      </c>
      <c r="F108" s="16"/>
      <c r="G108" s="16"/>
      <c r="H108" s="17" t="s">
        <v>114</v>
      </c>
      <c r="I108" s="10">
        <f t="shared" si="1"/>
        <v>3</v>
      </c>
      <c r="J108" s="10" t="s">
        <v>115</v>
      </c>
    </row>
    <row r="109" spans="1:10" x14ac:dyDescent="0.35">
      <c r="A109" s="15" t="s">
        <v>145</v>
      </c>
      <c r="B109" s="15" t="s">
        <v>120</v>
      </c>
      <c r="C109" s="16"/>
      <c r="D109" s="17" t="s">
        <v>114</v>
      </c>
      <c r="E109" s="17" t="s">
        <v>114</v>
      </c>
      <c r="F109" s="16"/>
      <c r="G109" s="16"/>
      <c r="H109" s="17" t="s">
        <v>114</v>
      </c>
      <c r="I109" s="10">
        <f t="shared" si="1"/>
        <v>3</v>
      </c>
      <c r="J109" s="10" t="s">
        <v>115</v>
      </c>
    </row>
    <row r="110" spans="1:10" x14ac:dyDescent="0.35">
      <c r="A110" s="15" t="s">
        <v>145</v>
      </c>
      <c r="B110" s="15" t="s">
        <v>121</v>
      </c>
      <c r="C110" s="16"/>
      <c r="D110" s="17" t="s">
        <v>114</v>
      </c>
      <c r="E110" s="17" t="s">
        <v>114</v>
      </c>
      <c r="F110" s="16"/>
      <c r="G110" s="16"/>
      <c r="H110" s="17" t="s">
        <v>114</v>
      </c>
      <c r="I110" s="10">
        <f t="shared" si="1"/>
        <v>3</v>
      </c>
      <c r="J110" s="10" t="s">
        <v>115</v>
      </c>
    </row>
    <row r="111" spans="1:10" x14ac:dyDescent="0.35">
      <c r="A111" s="15" t="s">
        <v>146</v>
      </c>
      <c r="B111" s="15" t="s">
        <v>113</v>
      </c>
      <c r="C111" s="16"/>
      <c r="D111" s="16"/>
      <c r="E111" s="17" t="s">
        <v>114</v>
      </c>
      <c r="F111" s="16"/>
      <c r="G111" s="17" t="s">
        <v>114</v>
      </c>
      <c r="H111" s="17" t="s">
        <v>114</v>
      </c>
      <c r="I111" s="10">
        <f t="shared" si="1"/>
        <v>3</v>
      </c>
      <c r="J111" s="10" t="s">
        <v>124</v>
      </c>
    </row>
    <row r="112" spans="1:10" x14ac:dyDescent="0.35">
      <c r="A112" s="15" t="s">
        <v>146</v>
      </c>
      <c r="B112" s="15" t="s">
        <v>125</v>
      </c>
      <c r="C112" s="16"/>
      <c r="D112" s="16"/>
      <c r="E112" s="17" t="s">
        <v>114</v>
      </c>
      <c r="F112" s="16"/>
      <c r="G112" s="17" t="s">
        <v>114</v>
      </c>
      <c r="H112" s="17" t="s">
        <v>114</v>
      </c>
      <c r="I112" s="10">
        <f t="shared" si="1"/>
        <v>3</v>
      </c>
      <c r="J112" s="10" t="s">
        <v>124</v>
      </c>
    </row>
    <row r="113" spans="1:10" x14ac:dyDescent="0.35">
      <c r="A113" s="15" t="s">
        <v>147</v>
      </c>
      <c r="B113" s="15" t="s">
        <v>113</v>
      </c>
      <c r="C113" s="16"/>
      <c r="D113" s="16"/>
      <c r="E113" s="17" t="s">
        <v>114</v>
      </c>
      <c r="F113" s="16"/>
      <c r="G113" s="17" t="s">
        <v>114</v>
      </c>
      <c r="H113" s="17" t="s">
        <v>114</v>
      </c>
      <c r="I113" s="10">
        <f t="shared" si="1"/>
        <v>3</v>
      </c>
      <c r="J113" s="10" t="s">
        <v>115</v>
      </c>
    </row>
    <row r="114" spans="1:10" x14ac:dyDescent="0.35">
      <c r="A114" s="15" t="s">
        <v>147</v>
      </c>
      <c r="B114" s="15" t="s">
        <v>116</v>
      </c>
      <c r="C114" s="16"/>
      <c r="D114" s="16"/>
      <c r="E114" s="17" t="s">
        <v>114</v>
      </c>
      <c r="F114" s="16"/>
      <c r="G114" s="17" t="s">
        <v>114</v>
      </c>
      <c r="H114" s="17" t="s">
        <v>114</v>
      </c>
      <c r="I114" s="10">
        <f t="shared" si="1"/>
        <v>3</v>
      </c>
      <c r="J114" s="10" t="s">
        <v>115</v>
      </c>
    </row>
    <row r="115" spans="1:10" x14ac:dyDescent="0.35">
      <c r="A115" s="15" t="s">
        <v>147</v>
      </c>
      <c r="B115" s="15" t="s">
        <v>117</v>
      </c>
      <c r="C115" s="16"/>
      <c r="D115" s="16"/>
      <c r="E115" s="17" t="s">
        <v>114</v>
      </c>
      <c r="F115" s="16"/>
      <c r="G115" s="17" t="s">
        <v>114</v>
      </c>
      <c r="H115" s="17" t="s">
        <v>114</v>
      </c>
      <c r="I115" s="10">
        <f t="shared" si="1"/>
        <v>3</v>
      </c>
      <c r="J115" s="10" t="s">
        <v>115</v>
      </c>
    </row>
    <row r="116" spans="1:10" x14ac:dyDescent="0.35">
      <c r="A116" s="15" t="s">
        <v>147</v>
      </c>
      <c r="B116" s="15" t="s">
        <v>118</v>
      </c>
      <c r="C116" s="16"/>
      <c r="D116" s="16"/>
      <c r="E116" s="17" t="s">
        <v>114</v>
      </c>
      <c r="F116" s="16"/>
      <c r="G116" s="17" t="s">
        <v>114</v>
      </c>
      <c r="H116" s="17" t="s">
        <v>114</v>
      </c>
      <c r="I116" s="10">
        <f t="shared" si="1"/>
        <v>3</v>
      </c>
      <c r="J116" s="10" t="s">
        <v>115</v>
      </c>
    </row>
    <row r="117" spans="1:10" x14ac:dyDescent="0.35">
      <c r="A117" s="15" t="s">
        <v>147</v>
      </c>
      <c r="B117" s="15" t="s">
        <v>119</v>
      </c>
      <c r="C117" s="16"/>
      <c r="D117" s="16"/>
      <c r="E117" s="17" t="s">
        <v>114</v>
      </c>
      <c r="F117" s="16"/>
      <c r="G117" s="17" t="s">
        <v>114</v>
      </c>
      <c r="H117" s="17" t="s">
        <v>114</v>
      </c>
      <c r="I117" s="10">
        <f t="shared" si="1"/>
        <v>3</v>
      </c>
      <c r="J117" s="10" t="s">
        <v>115</v>
      </c>
    </row>
    <row r="118" spans="1:10" x14ac:dyDescent="0.35">
      <c r="A118" s="15" t="s">
        <v>147</v>
      </c>
      <c r="B118" s="15" t="s">
        <v>120</v>
      </c>
      <c r="C118" s="16"/>
      <c r="D118" s="16"/>
      <c r="E118" s="17" t="s">
        <v>114</v>
      </c>
      <c r="F118" s="16"/>
      <c r="G118" s="17" t="s">
        <v>114</v>
      </c>
      <c r="H118" s="17" t="s">
        <v>114</v>
      </c>
      <c r="I118" s="10">
        <f t="shared" si="1"/>
        <v>3</v>
      </c>
      <c r="J118" s="10" t="s">
        <v>115</v>
      </c>
    </row>
    <row r="119" spans="1:10" x14ac:dyDescent="0.35">
      <c r="A119" s="15" t="s">
        <v>147</v>
      </c>
      <c r="B119" s="15" t="s">
        <v>121</v>
      </c>
      <c r="C119" s="16"/>
      <c r="D119" s="16"/>
      <c r="E119" s="17" t="s">
        <v>114</v>
      </c>
      <c r="F119" s="16"/>
      <c r="G119" s="17" t="s">
        <v>114</v>
      </c>
      <c r="H119" s="17" t="s">
        <v>114</v>
      </c>
      <c r="I119" s="10">
        <f t="shared" si="1"/>
        <v>3</v>
      </c>
      <c r="J119" s="10" t="s">
        <v>115</v>
      </c>
    </row>
    <row r="120" spans="1:10" x14ac:dyDescent="0.35">
      <c r="A120" s="15" t="s">
        <v>148</v>
      </c>
      <c r="B120" s="15" t="s">
        <v>113</v>
      </c>
      <c r="C120" s="16"/>
      <c r="D120" s="16"/>
      <c r="E120" s="16"/>
      <c r="F120" s="16"/>
      <c r="G120" s="16"/>
      <c r="H120" s="17" t="s">
        <v>114</v>
      </c>
      <c r="I120" s="10">
        <f t="shared" si="1"/>
        <v>1</v>
      </c>
      <c r="J120" s="10" t="s">
        <v>143</v>
      </c>
    </row>
    <row r="121" spans="1:10" x14ac:dyDescent="0.35">
      <c r="A121" s="15" t="s">
        <v>148</v>
      </c>
      <c r="B121" s="15" t="s">
        <v>149</v>
      </c>
      <c r="C121" s="16"/>
      <c r="D121" s="17" t="s">
        <v>114</v>
      </c>
      <c r="E121" s="17" t="s">
        <v>114</v>
      </c>
      <c r="F121" s="17" t="s">
        <v>114</v>
      </c>
      <c r="G121" s="17" t="s">
        <v>114</v>
      </c>
      <c r="H121" s="17" t="s">
        <v>114</v>
      </c>
      <c r="I121" s="10">
        <f t="shared" si="1"/>
        <v>5</v>
      </c>
      <c r="J121" s="10" t="s">
        <v>143</v>
      </c>
    </row>
    <row r="122" spans="1:10" x14ac:dyDescent="0.35">
      <c r="A122" s="15" t="s">
        <v>150</v>
      </c>
      <c r="B122" s="15" t="s">
        <v>113</v>
      </c>
      <c r="C122" s="16"/>
      <c r="D122" s="17" t="s">
        <v>114</v>
      </c>
      <c r="E122" s="16"/>
      <c r="F122" s="17" t="s">
        <v>114</v>
      </c>
      <c r="G122" s="16"/>
      <c r="H122" s="17" t="s">
        <v>114</v>
      </c>
      <c r="I122" s="10">
        <f t="shared" si="1"/>
        <v>3</v>
      </c>
      <c r="J122" s="10" t="s">
        <v>124</v>
      </c>
    </row>
    <row r="123" spans="1:10" x14ac:dyDescent="0.35">
      <c r="A123" s="15" t="s">
        <v>150</v>
      </c>
      <c r="B123" s="15" t="s">
        <v>125</v>
      </c>
      <c r="C123" s="16"/>
      <c r="D123" s="17" t="s">
        <v>114</v>
      </c>
      <c r="E123" s="16"/>
      <c r="F123" s="17" t="s">
        <v>114</v>
      </c>
      <c r="G123" s="16"/>
      <c r="H123" s="17" t="s">
        <v>114</v>
      </c>
      <c r="I123" s="10">
        <f t="shared" si="1"/>
        <v>3</v>
      </c>
      <c r="J123" s="10" t="s">
        <v>124</v>
      </c>
    </row>
    <row r="124" spans="1:10" x14ac:dyDescent="0.35">
      <c r="A124" s="15" t="s">
        <v>150</v>
      </c>
      <c r="B124" s="15" t="s">
        <v>118</v>
      </c>
      <c r="C124" s="16"/>
      <c r="D124" s="17" t="s">
        <v>114</v>
      </c>
      <c r="E124" s="16"/>
      <c r="F124" s="17" t="s">
        <v>114</v>
      </c>
      <c r="G124" s="16"/>
      <c r="H124" s="17" t="s">
        <v>114</v>
      </c>
      <c r="I124" s="10">
        <f t="shared" si="1"/>
        <v>3</v>
      </c>
      <c r="J124" s="10" t="s">
        <v>124</v>
      </c>
    </row>
    <row r="125" spans="1:10" x14ac:dyDescent="0.35">
      <c r="A125" s="15" t="s">
        <v>150</v>
      </c>
      <c r="B125" s="15" t="s">
        <v>121</v>
      </c>
      <c r="C125" s="16"/>
      <c r="D125" s="17" t="s">
        <v>114</v>
      </c>
      <c r="E125" s="16"/>
      <c r="F125" s="17" t="s">
        <v>114</v>
      </c>
      <c r="G125" s="16"/>
      <c r="H125" s="17" t="s">
        <v>114</v>
      </c>
      <c r="I125" s="10">
        <f t="shared" si="1"/>
        <v>3</v>
      </c>
      <c r="J125" s="10" t="s">
        <v>124</v>
      </c>
    </row>
    <row r="126" spans="1:10" x14ac:dyDescent="0.35">
      <c r="A126" s="15" t="s">
        <v>151</v>
      </c>
      <c r="B126" s="15" t="s">
        <v>113</v>
      </c>
      <c r="C126" s="16"/>
      <c r="D126" s="16"/>
      <c r="E126" s="17" t="s">
        <v>114</v>
      </c>
      <c r="F126" s="16"/>
      <c r="G126" s="17" t="s">
        <v>114</v>
      </c>
      <c r="H126" s="17" t="s">
        <v>114</v>
      </c>
      <c r="I126" s="10">
        <f t="shared" si="1"/>
        <v>3</v>
      </c>
      <c r="J126" s="10" t="s">
        <v>115</v>
      </c>
    </row>
    <row r="127" spans="1:10" x14ac:dyDescent="0.35">
      <c r="A127" s="15" t="s">
        <v>151</v>
      </c>
      <c r="B127" s="15" t="s">
        <v>116</v>
      </c>
      <c r="C127" s="16"/>
      <c r="D127" s="16"/>
      <c r="E127" s="17" t="s">
        <v>114</v>
      </c>
      <c r="F127" s="16"/>
      <c r="G127" s="17" t="s">
        <v>114</v>
      </c>
      <c r="H127" s="17" t="s">
        <v>114</v>
      </c>
      <c r="I127" s="10">
        <f t="shared" si="1"/>
        <v>3</v>
      </c>
      <c r="J127" s="10" t="s">
        <v>115</v>
      </c>
    </row>
    <row r="128" spans="1:10" x14ac:dyDescent="0.35">
      <c r="A128" s="15" t="s">
        <v>151</v>
      </c>
      <c r="B128" s="15" t="s">
        <v>117</v>
      </c>
      <c r="C128" s="16"/>
      <c r="D128" s="16"/>
      <c r="E128" s="17" t="s">
        <v>114</v>
      </c>
      <c r="F128" s="16"/>
      <c r="G128" s="17" t="s">
        <v>114</v>
      </c>
      <c r="H128" s="17" t="s">
        <v>114</v>
      </c>
      <c r="I128" s="10">
        <f t="shared" si="1"/>
        <v>3</v>
      </c>
      <c r="J128" s="10" t="s">
        <v>115</v>
      </c>
    </row>
    <row r="129" spans="1:10" x14ac:dyDescent="0.35">
      <c r="A129" s="15" t="s">
        <v>151</v>
      </c>
      <c r="B129" s="15" t="s">
        <v>118</v>
      </c>
      <c r="C129" s="16"/>
      <c r="D129" s="16"/>
      <c r="E129" s="17" t="s">
        <v>114</v>
      </c>
      <c r="F129" s="16"/>
      <c r="G129" s="17" t="s">
        <v>114</v>
      </c>
      <c r="H129" s="17" t="s">
        <v>114</v>
      </c>
      <c r="I129" s="10">
        <f t="shared" si="1"/>
        <v>3</v>
      </c>
      <c r="J129" s="10" t="s">
        <v>115</v>
      </c>
    </row>
    <row r="130" spans="1:10" x14ac:dyDescent="0.35">
      <c r="A130" s="15" t="s">
        <v>151</v>
      </c>
      <c r="B130" s="15" t="s">
        <v>119</v>
      </c>
      <c r="C130" s="16"/>
      <c r="D130" s="16"/>
      <c r="E130" s="17" t="s">
        <v>114</v>
      </c>
      <c r="F130" s="16"/>
      <c r="G130" s="17" t="s">
        <v>114</v>
      </c>
      <c r="H130" s="17" t="s">
        <v>114</v>
      </c>
      <c r="I130" s="10">
        <f t="shared" ref="I130:I193" si="2">COUNTIF(C130:H130,"✓")</f>
        <v>3</v>
      </c>
      <c r="J130" s="10" t="s">
        <v>115</v>
      </c>
    </row>
    <row r="131" spans="1:10" x14ac:dyDescent="0.35">
      <c r="A131" s="15" t="s">
        <v>151</v>
      </c>
      <c r="B131" s="15" t="s">
        <v>120</v>
      </c>
      <c r="C131" s="16"/>
      <c r="D131" s="16"/>
      <c r="E131" s="17" t="s">
        <v>114</v>
      </c>
      <c r="F131" s="16"/>
      <c r="G131" s="17" t="s">
        <v>114</v>
      </c>
      <c r="H131" s="17" t="s">
        <v>114</v>
      </c>
      <c r="I131" s="10">
        <f t="shared" si="2"/>
        <v>3</v>
      </c>
      <c r="J131" s="10" t="s">
        <v>115</v>
      </c>
    </row>
    <row r="132" spans="1:10" x14ac:dyDescent="0.35">
      <c r="A132" s="15" t="s">
        <v>151</v>
      </c>
      <c r="B132" s="15" t="s">
        <v>121</v>
      </c>
      <c r="C132" s="16"/>
      <c r="D132" s="16"/>
      <c r="E132" s="17" t="s">
        <v>114</v>
      </c>
      <c r="F132" s="16"/>
      <c r="G132" s="17" t="s">
        <v>114</v>
      </c>
      <c r="H132" s="17" t="s">
        <v>114</v>
      </c>
      <c r="I132" s="10">
        <f t="shared" si="2"/>
        <v>3</v>
      </c>
      <c r="J132" s="10" t="s">
        <v>115</v>
      </c>
    </row>
    <row r="133" spans="1:10" x14ac:dyDescent="0.35">
      <c r="A133" s="15" t="s">
        <v>152</v>
      </c>
      <c r="B133" s="15" t="s">
        <v>113</v>
      </c>
      <c r="C133" s="16"/>
      <c r="D133" s="16"/>
      <c r="E133" s="17" t="s">
        <v>114</v>
      </c>
      <c r="F133" s="16"/>
      <c r="G133" s="17" t="s">
        <v>114</v>
      </c>
      <c r="H133" s="17" t="s">
        <v>114</v>
      </c>
      <c r="I133" s="10">
        <f t="shared" si="2"/>
        <v>3</v>
      </c>
      <c r="J133" s="10" t="s">
        <v>115</v>
      </c>
    </row>
    <row r="134" spans="1:10" x14ac:dyDescent="0.35">
      <c r="A134" s="15" t="s">
        <v>152</v>
      </c>
      <c r="B134" s="15" t="s">
        <v>116</v>
      </c>
      <c r="C134" s="16"/>
      <c r="D134" s="16"/>
      <c r="E134" s="17" t="s">
        <v>114</v>
      </c>
      <c r="F134" s="16"/>
      <c r="G134" s="17" t="s">
        <v>114</v>
      </c>
      <c r="H134" s="17" t="s">
        <v>114</v>
      </c>
      <c r="I134" s="10">
        <f t="shared" si="2"/>
        <v>3</v>
      </c>
      <c r="J134" s="10" t="s">
        <v>115</v>
      </c>
    </row>
    <row r="135" spans="1:10" x14ac:dyDescent="0.35">
      <c r="A135" s="15" t="s">
        <v>152</v>
      </c>
      <c r="B135" s="15" t="s">
        <v>117</v>
      </c>
      <c r="C135" s="16"/>
      <c r="D135" s="16"/>
      <c r="E135" s="17" t="s">
        <v>114</v>
      </c>
      <c r="F135" s="16"/>
      <c r="G135" s="17" t="s">
        <v>114</v>
      </c>
      <c r="H135" s="17" t="s">
        <v>114</v>
      </c>
      <c r="I135" s="10">
        <f t="shared" si="2"/>
        <v>3</v>
      </c>
      <c r="J135" s="10" t="s">
        <v>115</v>
      </c>
    </row>
    <row r="136" spans="1:10" x14ac:dyDescent="0.35">
      <c r="A136" s="15" t="s">
        <v>152</v>
      </c>
      <c r="B136" s="15" t="s">
        <v>118</v>
      </c>
      <c r="C136" s="16"/>
      <c r="D136" s="16"/>
      <c r="E136" s="17" t="s">
        <v>114</v>
      </c>
      <c r="F136" s="16"/>
      <c r="G136" s="17" t="s">
        <v>114</v>
      </c>
      <c r="H136" s="17" t="s">
        <v>114</v>
      </c>
      <c r="I136" s="10">
        <f t="shared" si="2"/>
        <v>3</v>
      </c>
      <c r="J136" s="10" t="s">
        <v>115</v>
      </c>
    </row>
    <row r="137" spans="1:10" x14ac:dyDescent="0.35">
      <c r="A137" s="15" t="s">
        <v>152</v>
      </c>
      <c r="B137" s="15" t="s">
        <v>119</v>
      </c>
      <c r="C137" s="16"/>
      <c r="D137" s="16"/>
      <c r="E137" s="17" t="s">
        <v>114</v>
      </c>
      <c r="F137" s="16"/>
      <c r="G137" s="17" t="s">
        <v>114</v>
      </c>
      <c r="H137" s="17" t="s">
        <v>114</v>
      </c>
      <c r="I137" s="10">
        <f t="shared" si="2"/>
        <v>3</v>
      </c>
      <c r="J137" s="10" t="s">
        <v>115</v>
      </c>
    </row>
    <row r="138" spans="1:10" x14ac:dyDescent="0.35">
      <c r="A138" s="15" t="s">
        <v>152</v>
      </c>
      <c r="B138" s="15" t="s">
        <v>120</v>
      </c>
      <c r="C138" s="16"/>
      <c r="D138" s="16"/>
      <c r="E138" s="17" t="s">
        <v>114</v>
      </c>
      <c r="F138" s="16"/>
      <c r="G138" s="17" t="s">
        <v>114</v>
      </c>
      <c r="H138" s="17" t="s">
        <v>114</v>
      </c>
      <c r="I138" s="10">
        <f t="shared" si="2"/>
        <v>3</v>
      </c>
      <c r="J138" s="10" t="s">
        <v>115</v>
      </c>
    </row>
    <row r="139" spans="1:10" x14ac:dyDescent="0.35">
      <c r="A139" s="15" t="s">
        <v>152</v>
      </c>
      <c r="B139" s="15" t="s">
        <v>121</v>
      </c>
      <c r="C139" s="16"/>
      <c r="D139" s="16"/>
      <c r="E139" s="17" t="s">
        <v>114</v>
      </c>
      <c r="F139" s="16"/>
      <c r="G139" s="17" t="s">
        <v>114</v>
      </c>
      <c r="H139" s="17" t="s">
        <v>114</v>
      </c>
      <c r="I139" s="10">
        <f t="shared" si="2"/>
        <v>3</v>
      </c>
      <c r="J139" s="10" t="s">
        <v>115</v>
      </c>
    </row>
    <row r="140" spans="1:10" x14ac:dyDescent="0.35">
      <c r="A140" s="15" t="s">
        <v>153</v>
      </c>
      <c r="B140" s="15" t="s">
        <v>113</v>
      </c>
      <c r="C140" s="16"/>
      <c r="D140" s="16"/>
      <c r="E140" s="17" t="s">
        <v>114</v>
      </c>
      <c r="F140" s="16"/>
      <c r="G140" s="17" t="s">
        <v>114</v>
      </c>
      <c r="H140" s="17" t="s">
        <v>114</v>
      </c>
      <c r="I140" s="10">
        <f t="shared" si="2"/>
        <v>3</v>
      </c>
      <c r="J140" s="10" t="s">
        <v>115</v>
      </c>
    </row>
    <row r="141" spans="1:10" x14ac:dyDescent="0.35">
      <c r="A141" s="15" t="s">
        <v>153</v>
      </c>
      <c r="B141" s="15" t="s">
        <v>116</v>
      </c>
      <c r="C141" s="16"/>
      <c r="D141" s="16"/>
      <c r="E141" s="17" t="s">
        <v>114</v>
      </c>
      <c r="F141" s="16"/>
      <c r="G141" s="17" t="s">
        <v>114</v>
      </c>
      <c r="H141" s="17" t="s">
        <v>114</v>
      </c>
      <c r="I141" s="10">
        <f t="shared" si="2"/>
        <v>3</v>
      </c>
      <c r="J141" s="10" t="s">
        <v>115</v>
      </c>
    </row>
    <row r="142" spans="1:10" x14ac:dyDescent="0.35">
      <c r="A142" s="15" t="s">
        <v>153</v>
      </c>
      <c r="B142" s="15" t="s">
        <v>117</v>
      </c>
      <c r="C142" s="16"/>
      <c r="D142" s="16"/>
      <c r="E142" s="17" t="s">
        <v>114</v>
      </c>
      <c r="F142" s="16"/>
      <c r="G142" s="17" t="s">
        <v>114</v>
      </c>
      <c r="H142" s="17" t="s">
        <v>114</v>
      </c>
      <c r="I142" s="10">
        <f t="shared" si="2"/>
        <v>3</v>
      </c>
      <c r="J142" s="10" t="s">
        <v>115</v>
      </c>
    </row>
    <row r="143" spans="1:10" x14ac:dyDescent="0.35">
      <c r="A143" s="15" t="s">
        <v>153</v>
      </c>
      <c r="B143" s="15" t="s">
        <v>118</v>
      </c>
      <c r="C143" s="16"/>
      <c r="D143" s="16"/>
      <c r="E143" s="17" t="s">
        <v>114</v>
      </c>
      <c r="F143" s="16"/>
      <c r="G143" s="17" t="s">
        <v>114</v>
      </c>
      <c r="H143" s="17" t="s">
        <v>114</v>
      </c>
      <c r="I143" s="10">
        <f t="shared" si="2"/>
        <v>3</v>
      </c>
      <c r="J143" s="10" t="s">
        <v>115</v>
      </c>
    </row>
    <row r="144" spans="1:10" x14ac:dyDescent="0.35">
      <c r="A144" s="15" t="s">
        <v>153</v>
      </c>
      <c r="B144" s="15" t="s">
        <v>119</v>
      </c>
      <c r="C144" s="16"/>
      <c r="D144" s="16"/>
      <c r="E144" s="17" t="s">
        <v>114</v>
      </c>
      <c r="F144" s="16"/>
      <c r="G144" s="17" t="s">
        <v>114</v>
      </c>
      <c r="H144" s="17" t="s">
        <v>114</v>
      </c>
      <c r="I144" s="10">
        <f t="shared" si="2"/>
        <v>3</v>
      </c>
      <c r="J144" s="10" t="s">
        <v>115</v>
      </c>
    </row>
    <row r="145" spans="1:10" x14ac:dyDescent="0.35">
      <c r="A145" s="15" t="s">
        <v>153</v>
      </c>
      <c r="B145" s="15" t="s">
        <v>120</v>
      </c>
      <c r="C145" s="16"/>
      <c r="D145" s="16"/>
      <c r="E145" s="17" t="s">
        <v>114</v>
      </c>
      <c r="F145" s="16"/>
      <c r="G145" s="17" t="s">
        <v>114</v>
      </c>
      <c r="H145" s="17" t="s">
        <v>114</v>
      </c>
      <c r="I145" s="10">
        <f t="shared" si="2"/>
        <v>3</v>
      </c>
      <c r="J145" s="10" t="s">
        <v>115</v>
      </c>
    </row>
    <row r="146" spans="1:10" x14ac:dyDescent="0.35">
      <c r="A146" s="15" t="s">
        <v>153</v>
      </c>
      <c r="B146" s="15" t="s">
        <v>121</v>
      </c>
      <c r="C146" s="16"/>
      <c r="D146" s="16"/>
      <c r="E146" s="17" t="s">
        <v>114</v>
      </c>
      <c r="F146" s="16"/>
      <c r="G146" s="17" t="s">
        <v>114</v>
      </c>
      <c r="H146" s="17" t="s">
        <v>114</v>
      </c>
      <c r="I146" s="10">
        <f t="shared" si="2"/>
        <v>3</v>
      </c>
      <c r="J146" s="10" t="s">
        <v>115</v>
      </c>
    </row>
    <row r="147" spans="1:10" x14ac:dyDescent="0.35">
      <c r="A147" s="15" t="s">
        <v>154</v>
      </c>
      <c r="B147" s="15" t="s">
        <v>113</v>
      </c>
      <c r="C147" s="16"/>
      <c r="D147" s="16"/>
      <c r="E147" s="17" t="s">
        <v>114</v>
      </c>
      <c r="F147" s="16"/>
      <c r="G147" s="17" t="s">
        <v>114</v>
      </c>
      <c r="H147" s="17" t="s">
        <v>114</v>
      </c>
      <c r="I147" s="10">
        <f t="shared" si="2"/>
        <v>3</v>
      </c>
      <c r="J147" s="10" t="s">
        <v>115</v>
      </c>
    </row>
    <row r="148" spans="1:10" x14ac:dyDescent="0.35">
      <c r="A148" s="15" t="s">
        <v>154</v>
      </c>
      <c r="B148" s="15" t="s">
        <v>116</v>
      </c>
      <c r="C148" s="16"/>
      <c r="D148" s="16"/>
      <c r="E148" s="17" t="s">
        <v>114</v>
      </c>
      <c r="F148" s="16"/>
      <c r="G148" s="17" t="s">
        <v>114</v>
      </c>
      <c r="H148" s="17" t="s">
        <v>114</v>
      </c>
      <c r="I148" s="10">
        <f t="shared" si="2"/>
        <v>3</v>
      </c>
      <c r="J148" s="10" t="s">
        <v>115</v>
      </c>
    </row>
    <row r="149" spans="1:10" x14ac:dyDescent="0.35">
      <c r="A149" s="15" t="s">
        <v>154</v>
      </c>
      <c r="B149" s="15" t="s">
        <v>117</v>
      </c>
      <c r="C149" s="16"/>
      <c r="D149" s="16"/>
      <c r="E149" s="17" t="s">
        <v>114</v>
      </c>
      <c r="F149" s="16"/>
      <c r="G149" s="17" t="s">
        <v>114</v>
      </c>
      <c r="H149" s="17" t="s">
        <v>114</v>
      </c>
      <c r="I149" s="10">
        <f t="shared" si="2"/>
        <v>3</v>
      </c>
      <c r="J149" s="10" t="s">
        <v>115</v>
      </c>
    </row>
    <row r="150" spans="1:10" x14ac:dyDescent="0.35">
      <c r="A150" s="15" t="s">
        <v>154</v>
      </c>
      <c r="B150" s="15" t="s">
        <v>118</v>
      </c>
      <c r="C150" s="16"/>
      <c r="D150" s="16"/>
      <c r="E150" s="17" t="s">
        <v>114</v>
      </c>
      <c r="F150" s="16"/>
      <c r="G150" s="17" t="s">
        <v>114</v>
      </c>
      <c r="H150" s="17" t="s">
        <v>114</v>
      </c>
      <c r="I150" s="10">
        <f t="shared" si="2"/>
        <v>3</v>
      </c>
      <c r="J150" s="10" t="s">
        <v>115</v>
      </c>
    </row>
    <row r="151" spans="1:10" x14ac:dyDescent="0.35">
      <c r="A151" s="15" t="s">
        <v>154</v>
      </c>
      <c r="B151" s="15" t="s">
        <v>119</v>
      </c>
      <c r="C151" s="16"/>
      <c r="D151" s="16"/>
      <c r="E151" s="17" t="s">
        <v>114</v>
      </c>
      <c r="F151" s="16"/>
      <c r="G151" s="17" t="s">
        <v>114</v>
      </c>
      <c r="H151" s="17" t="s">
        <v>114</v>
      </c>
      <c r="I151" s="10">
        <f t="shared" si="2"/>
        <v>3</v>
      </c>
      <c r="J151" s="10" t="s">
        <v>115</v>
      </c>
    </row>
    <row r="152" spans="1:10" x14ac:dyDescent="0.35">
      <c r="A152" s="15" t="s">
        <v>154</v>
      </c>
      <c r="B152" s="15" t="s">
        <v>120</v>
      </c>
      <c r="C152" s="16"/>
      <c r="D152" s="16"/>
      <c r="E152" s="17" t="s">
        <v>114</v>
      </c>
      <c r="F152" s="16"/>
      <c r="G152" s="17" t="s">
        <v>114</v>
      </c>
      <c r="H152" s="17" t="s">
        <v>114</v>
      </c>
      <c r="I152" s="10">
        <f t="shared" si="2"/>
        <v>3</v>
      </c>
      <c r="J152" s="10" t="s">
        <v>115</v>
      </c>
    </row>
    <row r="153" spans="1:10" x14ac:dyDescent="0.35">
      <c r="A153" s="15" t="s">
        <v>154</v>
      </c>
      <c r="B153" s="15" t="s">
        <v>121</v>
      </c>
      <c r="C153" s="16"/>
      <c r="D153" s="16"/>
      <c r="E153" s="17" t="s">
        <v>114</v>
      </c>
      <c r="F153" s="16"/>
      <c r="G153" s="17" t="s">
        <v>114</v>
      </c>
      <c r="H153" s="17" t="s">
        <v>114</v>
      </c>
      <c r="I153" s="10">
        <f t="shared" si="2"/>
        <v>3</v>
      </c>
      <c r="J153" s="10" t="s">
        <v>115</v>
      </c>
    </row>
    <row r="154" spans="1:10" x14ac:dyDescent="0.35">
      <c r="A154" s="15" t="s">
        <v>155</v>
      </c>
      <c r="B154" s="15" t="s">
        <v>113</v>
      </c>
      <c r="C154" s="16"/>
      <c r="D154" s="17" t="s">
        <v>114</v>
      </c>
      <c r="E154" s="17" t="s">
        <v>114</v>
      </c>
      <c r="F154" s="17" t="s">
        <v>114</v>
      </c>
      <c r="G154" s="17" t="s">
        <v>114</v>
      </c>
      <c r="H154" s="17" t="s">
        <v>114</v>
      </c>
      <c r="I154" s="10">
        <f t="shared" si="2"/>
        <v>5</v>
      </c>
      <c r="J154" s="10" t="s">
        <v>124</v>
      </c>
    </row>
    <row r="155" spans="1:10" x14ac:dyDescent="0.35">
      <c r="A155" s="15" t="s">
        <v>155</v>
      </c>
      <c r="B155" s="15" t="s">
        <v>125</v>
      </c>
      <c r="C155" s="16"/>
      <c r="D155" s="17" t="s">
        <v>114</v>
      </c>
      <c r="E155" s="17" t="s">
        <v>114</v>
      </c>
      <c r="F155" s="17" t="s">
        <v>114</v>
      </c>
      <c r="G155" s="17" t="s">
        <v>114</v>
      </c>
      <c r="H155" s="17" t="s">
        <v>114</v>
      </c>
      <c r="I155" s="10">
        <f t="shared" si="2"/>
        <v>5</v>
      </c>
      <c r="J155" s="10" t="s">
        <v>124</v>
      </c>
    </row>
    <row r="156" spans="1:10" x14ac:dyDescent="0.35">
      <c r="A156" s="15" t="s">
        <v>155</v>
      </c>
      <c r="B156" s="15" t="s">
        <v>118</v>
      </c>
      <c r="C156" s="16"/>
      <c r="D156" s="17" t="s">
        <v>114</v>
      </c>
      <c r="E156" s="17" t="s">
        <v>114</v>
      </c>
      <c r="F156" s="17" t="s">
        <v>114</v>
      </c>
      <c r="G156" s="17" t="s">
        <v>114</v>
      </c>
      <c r="H156" s="17" t="s">
        <v>114</v>
      </c>
      <c r="I156" s="10">
        <f t="shared" si="2"/>
        <v>5</v>
      </c>
      <c r="J156" s="10" t="s">
        <v>124</v>
      </c>
    </row>
    <row r="157" spans="1:10" x14ac:dyDescent="0.35">
      <c r="A157" s="15" t="s">
        <v>155</v>
      </c>
      <c r="B157" s="15" t="s">
        <v>121</v>
      </c>
      <c r="C157" s="16"/>
      <c r="D157" s="17" t="s">
        <v>114</v>
      </c>
      <c r="E157" s="17" t="s">
        <v>114</v>
      </c>
      <c r="F157" s="17" t="s">
        <v>114</v>
      </c>
      <c r="G157" s="17" t="s">
        <v>114</v>
      </c>
      <c r="H157" s="17" t="s">
        <v>114</v>
      </c>
      <c r="I157" s="10">
        <f t="shared" si="2"/>
        <v>5</v>
      </c>
      <c r="J157" s="10" t="s">
        <v>124</v>
      </c>
    </row>
    <row r="158" spans="1:10" x14ac:dyDescent="0.35">
      <c r="A158" s="15" t="s">
        <v>156</v>
      </c>
      <c r="B158" s="15" t="s">
        <v>113</v>
      </c>
      <c r="C158" s="16"/>
      <c r="D158" s="17" t="s">
        <v>114</v>
      </c>
      <c r="E158" s="17" t="s">
        <v>114</v>
      </c>
      <c r="F158" s="17" t="s">
        <v>114</v>
      </c>
      <c r="G158" s="17" t="s">
        <v>114</v>
      </c>
      <c r="H158" s="17" t="s">
        <v>114</v>
      </c>
      <c r="I158" s="10">
        <f t="shared" si="2"/>
        <v>5</v>
      </c>
      <c r="J158" s="10" t="s">
        <v>115</v>
      </c>
    </row>
    <row r="159" spans="1:10" x14ac:dyDescent="0.35">
      <c r="A159" s="15" t="s">
        <v>156</v>
      </c>
      <c r="B159" s="15" t="s">
        <v>116</v>
      </c>
      <c r="C159" s="16"/>
      <c r="D159" s="17" t="s">
        <v>114</v>
      </c>
      <c r="E159" s="17" t="s">
        <v>114</v>
      </c>
      <c r="F159" s="17" t="s">
        <v>114</v>
      </c>
      <c r="G159" s="17" t="s">
        <v>114</v>
      </c>
      <c r="H159" s="17" t="s">
        <v>114</v>
      </c>
      <c r="I159" s="10">
        <f t="shared" si="2"/>
        <v>5</v>
      </c>
      <c r="J159" s="10" t="s">
        <v>115</v>
      </c>
    </row>
    <row r="160" spans="1:10" x14ac:dyDescent="0.35">
      <c r="A160" s="15" t="s">
        <v>156</v>
      </c>
      <c r="B160" s="15" t="s">
        <v>117</v>
      </c>
      <c r="C160" s="16"/>
      <c r="D160" s="17" t="s">
        <v>114</v>
      </c>
      <c r="E160" s="17" t="s">
        <v>114</v>
      </c>
      <c r="F160" s="17" t="s">
        <v>114</v>
      </c>
      <c r="G160" s="17" t="s">
        <v>114</v>
      </c>
      <c r="H160" s="17" t="s">
        <v>114</v>
      </c>
      <c r="I160" s="10">
        <f t="shared" si="2"/>
        <v>5</v>
      </c>
      <c r="J160" s="10" t="s">
        <v>115</v>
      </c>
    </row>
    <row r="161" spans="1:10" x14ac:dyDescent="0.35">
      <c r="A161" s="15" t="s">
        <v>156</v>
      </c>
      <c r="B161" s="15" t="s">
        <v>118</v>
      </c>
      <c r="C161" s="16"/>
      <c r="D161" s="17" t="s">
        <v>114</v>
      </c>
      <c r="E161" s="17" t="s">
        <v>114</v>
      </c>
      <c r="F161" s="17" t="s">
        <v>114</v>
      </c>
      <c r="G161" s="17" t="s">
        <v>114</v>
      </c>
      <c r="H161" s="17" t="s">
        <v>114</v>
      </c>
      <c r="I161" s="10">
        <f t="shared" si="2"/>
        <v>5</v>
      </c>
      <c r="J161" s="10" t="s">
        <v>115</v>
      </c>
    </row>
    <row r="162" spans="1:10" x14ac:dyDescent="0.35">
      <c r="A162" s="15" t="s">
        <v>156</v>
      </c>
      <c r="B162" s="15" t="s">
        <v>119</v>
      </c>
      <c r="C162" s="16"/>
      <c r="D162" s="17" t="s">
        <v>114</v>
      </c>
      <c r="E162" s="17" t="s">
        <v>114</v>
      </c>
      <c r="F162" s="17" t="s">
        <v>114</v>
      </c>
      <c r="G162" s="17" t="s">
        <v>114</v>
      </c>
      <c r="H162" s="17" t="s">
        <v>114</v>
      </c>
      <c r="I162" s="10">
        <f t="shared" si="2"/>
        <v>5</v>
      </c>
      <c r="J162" s="10" t="s">
        <v>115</v>
      </c>
    </row>
    <row r="163" spans="1:10" x14ac:dyDescent="0.35">
      <c r="A163" s="15" t="s">
        <v>156</v>
      </c>
      <c r="B163" s="15" t="s">
        <v>120</v>
      </c>
      <c r="C163" s="16"/>
      <c r="D163" s="17" t="s">
        <v>114</v>
      </c>
      <c r="E163" s="17" t="s">
        <v>114</v>
      </c>
      <c r="F163" s="17" t="s">
        <v>114</v>
      </c>
      <c r="G163" s="17" t="s">
        <v>114</v>
      </c>
      <c r="H163" s="17" t="s">
        <v>114</v>
      </c>
      <c r="I163" s="10">
        <f t="shared" si="2"/>
        <v>5</v>
      </c>
      <c r="J163" s="10" t="s">
        <v>115</v>
      </c>
    </row>
    <row r="164" spans="1:10" x14ac:dyDescent="0.35">
      <c r="A164" s="15" t="s">
        <v>156</v>
      </c>
      <c r="B164" s="15" t="s">
        <v>121</v>
      </c>
      <c r="C164" s="16"/>
      <c r="D164" s="17" t="s">
        <v>114</v>
      </c>
      <c r="E164" s="17" t="s">
        <v>114</v>
      </c>
      <c r="F164" s="17" t="s">
        <v>114</v>
      </c>
      <c r="G164" s="17" t="s">
        <v>114</v>
      </c>
      <c r="H164" s="17" t="s">
        <v>114</v>
      </c>
      <c r="I164" s="10">
        <f t="shared" si="2"/>
        <v>5</v>
      </c>
      <c r="J164" s="10" t="s">
        <v>115</v>
      </c>
    </row>
    <row r="165" spans="1:10" x14ac:dyDescent="0.35">
      <c r="A165" s="15" t="s">
        <v>157</v>
      </c>
      <c r="B165" s="15" t="s">
        <v>113</v>
      </c>
      <c r="C165" s="16"/>
      <c r="D165" s="17" t="s">
        <v>114</v>
      </c>
      <c r="E165" s="17" t="s">
        <v>114</v>
      </c>
      <c r="F165" s="16"/>
      <c r="G165" s="17" t="s">
        <v>114</v>
      </c>
      <c r="H165" s="17" t="s">
        <v>114</v>
      </c>
      <c r="I165" s="10">
        <f t="shared" si="2"/>
        <v>4</v>
      </c>
      <c r="J165" s="10" t="s">
        <v>124</v>
      </c>
    </row>
    <row r="166" spans="1:10" x14ac:dyDescent="0.35">
      <c r="A166" s="15" t="s">
        <v>157</v>
      </c>
      <c r="B166" s="15" t="s">
        <v>125</v>
      </c>
      <c r="C166" s="16"/>
      <c r="D166" s="17" t="s">
        <v>114</v>
      </c>
      <c r="E166" s="17" t="s">
        <v>114</v>
      </c>
      <c r="F166" s="16"/>
      <c r="G166" s="17" t="s">
        <v>114</v>
      </c>
      <c r="H166" s="17" t="s">
        <v>114</v>
      </c>
      <c r="I166" s="10">
        <f t="shared" si="2"/>
        <v>4</v>
      </c>
      <c r="J166" s="10" t="s">
        <v>124</v>
      </c>
    </row>
    <row r="167" spans="1:10" x14ac:dyDescent="0.35">
      <c r="A167" s="15" t="s">
        <v>157</v>
      </c>
      <c r="B167" s="15" t="s">
        <v>118</v>
      </c>
      <c r="C167" s="16"/>
      <c r="D167" s="17" t="s">
        <v>114</v>
      </c>
      <c r="E167" s="17" t="s">
        <v>114</v>
      </c>
      <c r="F167" s="16"/>
      <c r="G167" s="17" t="s">
        <v>114</v>
      </c>
      <c r="H167" s="17" t="s">
        <v>114</v>
      </c>
      <c r="I167" s="10">
        <f t="shared" si="2"/>
        <v>4</v>
      </c>
      <c r="J167" s="10" t="s">
        <v>124</v>
      </c>
    </row>
    <row r="168" spans="1:10" x14ac:dyDescent="0.35">
      <c r="A168" s="15" t="s">
        <v>157</v>
      </c>
      <c r="B168" s="15" t="s">
        <v>121</v>
      </c>
      <c r="C168" s="16"/>
      <c r="D168" s="17" t="s">
        <v>114</v>
      </c>
      <c r="E168" s="17" t="s">
        <v>114</v>
      </c>
      <c r="F168" s="16"/>
      <c r="G168" s="17" t="s">
        <v>114</v>
      </c>
      <c r="H168" s="17" t="s">
        <v>114</v>
      </c>
      <c r="I168" s="10">
        <f t="shared" si="2"/>
        <v>4</v>
      </c>
      <c r="J168" s="10" t="s">
        <v>124</v>
      </c>
    </row>
    <row r="169" spans="1:10" x14ac:dyDescent="0.35">
      <c r="A169" s="15" t="s">
        <v>158</v>
      </c>
      <c r="B169" s="15" t="s">
        <v>113</v>
      </c>
      <c r="C169" s="16"/>
      <c r="D169" s="16"/>
      <c r="E169" s="17" t="s">
        <v>114</v>
      </c>
      <c r="F169" s="16"/>
      <c r="G169" s="17" t="s">
        <v>114</v>
      </c>
      <c r="H169" s="17" t="s">
        <v>114</v>
      </c>
      <c r="I169" s="10">
        <f t="shared" si="2"/>
        <v>3</v>
      </c>
      <c r="J169" s="10" t="s">
        <v>124</v>
      </c>
    </row>
    <row r="170" spans="1:10" x14ac:dyDescent="0.35">
      <c r="A170" s="15" t="s">
        <v>158</v>
      </c>
      <c r="B170" s="15" t="s">
        <v>125</v>
      </c>
      <c r="C170" s="16"/>
      <c r="D170" s="16"/>
      <c r="E170" s="17" t="s">
        <v>114</v>
      </c>
      <c r="F170" s="16"/>
      <c r="G170" s="17" t="s">
        <v>114</v>
      </c>
      <c r="H170" s="17" t="s">
        <v>114</v>
      </c>
      <c r="I170" s="10">
        <f t="shared" si="2"/>
        <v>3</v>
      </c>
      <c r="J170" s="10" t="s">
        <v>124</v>
      </c>
    </row>
    <row r="171" spans="1:10" x14ac:dyDescent="0.35">
      <c r="A171" s="15" t="s">
        <v>158</v>
      </c>
      <c r="B171" s="15" t="s">
        <v>118</v>
      </c>
      <c r="C171" s="16"/>
      <c r="D171" s="16"/>
      <c r="E171" s="17" t="s">
        <v>114</v>
      </c>
      <c r="F171" s="16"/>
      <c r="G171" s="17" t="s">
        <v>114</v>
      </c>
      <c r="H171" s="17" t="s">
        <v>114</v>
      </c>
      <c r="I171" s="10">
        <f t="shared" si="2"/>
        <v>3</v>
      </c>
      <c r="J171" s="10" t="s">
        <v>124</v>
      </c>
    </row>
    <row r="172" spans="1:10" x14ac:dyDescent="0.35">
      <c r="A172" s="15" t="s">
        <v>158</v>
      </c>
      <c r="B172" s="15" t="s">
        <v>121</v>
      </c>
      <c r="C172" s="16"/>
      <c r="D172" s="16"/>
      <c r="E172" s="17" t="s">
        <v>114</v>
      </c>
      <c r="F172" s="16"/>
      <c r="G172" s="17" t="s">
        <v>114</v>
      </c>
      <c r="H172" s="17" t="s">
        <v>114</v>
      </c>
      <c r="I172" s="10">
        <f t="shared" si="2"/>
        <v>3</v>
      </c>
      <c r="J172" s="10" t="s">
        <v>124</v>
      </c>
    </row>
    <row r="173" spans="1:10" x14ac:dyDescent="0.35">
      <c r="A173" s="15" t="s">
        <v>159</v>
      </c>
      <c r="B173" s="15" t="s">
        <v>113</v>
      </c>
      <c r="C173" s="16"/>
      <c r="D173" s="16"/>
      <c r="E173" s="17" t="s">
        <v>114</v>
      </c>
      <c r="F173" s="16"/>
      <c r="G173" s="17" t="s">
        <v>114</v>
      </c>
      <c r="H173" s="17" t="s">
        <v>114</v>
      </c>
      <c r="I173" s="10">
        <f t="shared" si="2"/>
        <v>3</v>
      </c>
      <c r="J173" s="10" t="s">
        <v>124</v>
      </c>
    </row>
    <row r="174" spans="1:10" x14ac:dyDescent="0.35">
      <c r="A174" s="15" t="s">
        <v>159</v>
      </c>
      <c r="B174" s="15" t="s">
        <v>125</v>
      </c>
      <c r="C174" s="16"/>
      <c r="D174" s="16"/>
      <c r="E174" s="17" t="s">
        <v>114</v>
      </c>
      <c r="F174" s="16"/>
      <c r="G174" s="17" t="s">
        <v>114</v>
      </c>
      <c r="H174" s="17" t="s">
        <v>114</v>
      </c>
      <c r="I174" s="10">
        <f t="shared" si="2"/>
        <v>3</v>
      </c>
      <c r="J174" s="10" t="s">
        <v>124</v>
      </c>
    </row>
    <row r="175" spans="1:10" x14ac:dyDescent="0.35">
      <c r="A175" s="15" t="s">
        <v>159</v>
      </c>
      <c r="B175" s="15" t="s">
        <v>118</v>
      </c>
      <c r="C175" s="16"/>
      <c r="D175" s="16"/>
      <c r="E175" s="17" t="s">
        <v>114</v>
      </c>
      <c r="F175" s="16"/>
      <c r="G175" s="17" t="s">
        <v>114</v>
      </c>
      <c r="H175" s="17" t="s">
        <v>114</v>
      </c>
      <c r="I175" s="10">
        <f t="shared" si="2"/>
        <v>3</v>
      </c>
      <c r="J175" s="10" t="s">
        <v>124</v>
      </c>
    </row>
    <row r="176" spans="1:10" x14ac:dyDescent="0.35">
      <c r="A176" s="15" t="s">
        <v>159</v>
      </c>
      <c r="B176" s="15" t="s">
        <v>121</v>
      </c>
      <c r="C176" s="16"/>
      <c r="D176" s="16"/>
      <c r="E176" s="17" t="s">
        <v>114</v>
      </c>
      <c r="F176" s="16"/>
      <c r="G176" s="17" t="s">
        <v>114</v>
      </c>
      <c r="H176" s="17" t="s">
        <v>114</v>
      </c>
      <c r="I176" s="10">
        <f t="shared" si="2"/>
        <v>3</v>
      </c>
      <c r="J176" s="10" t="s">
        <v>124</v>
      </c>
    </row>
    <row r="177" spans="1:10" x14ac:dyDescent="0.35">
      <c r="A177" s="15" t="s">
        <v>160</v>
      </c>
      <c r="B177" s="15" t="s">
        <v>113</v>
      </c>
      <c r="C177" s="16"/>
      <c r="D177" s="16"/>
      <c r="E177" s="17" t="s">
        <v>114</v>
      </c>
      <c r="F177" s="16"/>
      <c r="G177" s="17" t="s">
        <v>114</v>
      </c>
      <c r="H177" s="17" t="s">
        <v>114</v>
      </c>
      <c r="I177" s="10">
        <f t="shared" si="2"/>
        <v>3</v>
      </c>
      <c r="J177" s="10" t="s">
        <v>124</v>
      </c>
    </row>
    <row r="178" spans="1:10" x14ac:dyDescent="0.35">
      <c r="A178" s="15" t="s">
        <v>160</v>
      </c>
      <c r="B178" s="15" t="s">
        <v>125</v>
      </c>
      <c r="C178" s="16"/>
      <c r="D178" s="16"/>
      <c r="E178" s="17" t="s">
        <v>114</v>
      </c>
      <c r="F178" s="16"/>
      <c r="G178" s="17" t="s">
        <v>114</v>
      </c>
      <c r="H178" s="17" t="s">
        <v>114</v>
      </c>
      <c r="I178" s="10">
        <f t="shared" si="2"/>
        <v>3</v>
      </c>
      <c r="J178" s="10" t="s">
        <v>124</v>
      </c>
    </row>
    <row r="179" spans="1:10" x14ac:dyDescent="0.35">
      <c r="A179" s="15" t="s">
        <v>160</v>
      </c>
      <c r="B179" s="15" t="s">
        <v>118</v>
      </c>
      <c r="C179" s="16"/>
      <c r="D179" s="16"/>
      <c r="E179" s="17" t="s">
        <v>114</v>
      </c>
      <c r="F179" s="16"/>
      <c r="G179" s="17" t="s">
        <v>114</v>
      </c>
      <c r="H179" s="17" t="s">
        <v>114</v>
      </c>
      <c r="I179" s="10">
        <f t="shared" si="2"/>
        <v>3</v>
      </c>
      <c r="J179" s="10" t="s">
        <v>124</v>
      </c>
    </row>
    <row r="180" spans="1:10" x14ac:dyDescent="0.35">
      <c r="A180" s="15" t="s">
        <v>161</v>
      </c>
      <c r="B180" s="15" t="s">
        <v>113</v>
      </c>
      <c r="C180" s="16"/>
      <c r="D180" s="16"/>
      <c r="E180" s="17" t="s">
        <v>114</v>
      </c>
      <c r="F180" s="16"/>
      <c r="G180" s="17" t="s">
        <v>114</v>
      </c>
      <c r="H180" s="17" t="s">
        <v>114</v>
      </c>
      <c r="I180" s="10">
        <f t="shared" si="2"/>
        <v>3</v>
      </c>
      <c r="J180" s="10" t="s">
        <v>124</v>
      </c>
    </row>
    <row r="181" spans="1:10" x14ac:dyDescent="0.35">
      <c r="A181" s="15" t="s">
        <v>161</v>
      </c>
      <c r="B181" s="15" t="s">
        <v>125</v>
      </c>
      <c r="C181" s="16"/>
      <c r="D181" s="16"/>
      <c r="E181" s="17" t="s">
        <v>114</v>
      </c>
      <c r="F181" s="16"/>
      <c r="G181" s="17" t="s">
        <v>114</v>
      </c>
      <c r="H181" s="17" t="s">
        <v>114</v>
      </c>
      <c r="I181" s="10">
        <f t="shared" si="2"/>
        <v>3</v>
      </c>
      <c r="J181" s="10" t="s">
        <v>124</v>
      </c>
    </row>
    <row r="182" spans="1:10" x14ac:dyDescent="0.35">
      <c r="A182" s="15" t="s">
        <v>161</v>
      </c>
      <c r="B182" s="15" t="s">
        <v>118</v>
      </c>
      <c r="C182" s="16"/>
      <c r="D182" s="16"/>
      <c r="E182" s="17" t="s">
        <v>114</v>
      </c>
      <c r="F182" s="16"/>
      <c r="G182" s="17" t="s">
        <v>114</v>
      </c>
      <c r="H182" s="17" t="s">
        <v>114</v>
      </c>
      <c r="I182" s="10">
        <f t="shared" si="2"/>
        <v>3</v>
      </c>
      <c r="J182" s="10" t="s">
        <v>124</v>
      </c>
    </row>
    <row r="183" spans="1:10" x14ac:dyDescent="0.35">
      <c r="A183" s="15" t="s">
        <v>162</v>
      </c>
      <c r="B183" s="15" t="s">
        <v>113</v>
      </c>
      <c r="C183" s="16"/>
      <c r="D183" s="16"/>
      <c r="E183" s="17" t="s">
        <v>114</v>
      </c>
      <c r="F183" s="16"/>
      <c r="G183" s="17" t="s">
        <v>114</v>
      </c>
      <c r="H183" s="17" t="s">
        <v>114</v>
      </c>
      <c r="I183" s="10">
        <f t="shared" si="2"/>
        <v>3</v>
      </c>
      <c r="J183" s="10" t="s">
        <v>115</v>
      </c>
    </row>
    <row r="184" spans="1:10" x14ac:dyDescent="0.35">
      <c r="A184" s="15" t="s">
        <v>162</v>
      </c>
      <c r="B184" s="15" t="s">
        <v>116</v>
      </c>
      <c r="C184" s="16"/>
      <c r="D184" s="16"/>
      <c r="E184" s="17" t="s">
        <v>114</v>
      </c>
      <c r="F184" s="16"/>
      <c r="G184" s="17" t="s">
        <v>114</v>
      </c>
      <c r="H184" s="17" t="s">
        <v>114</v>
      </c>
      <c r="I184" s="10">
        <f t="shared" si="2"/>
        <v>3</v>
      </c>
      <c r="J184" s="10" t="s">
        <v>115</v>
      </c>
    </row>
    <row r="185" spans="1:10" x14ac:dyDescent="0.35">
      <c r="A185" s="15" t="s">
        <v>162</v>
      </c>
      <c r="B185" s="15" t="s">
        <v>117</v>
      </c>
      <c r="C185" s="16"/>
      <c r="D185" s="16"/>
      <c r="E185" s="17" t="s">
        <v>114</v>
      </c>
      <c r="F185" s="16"/>
      <c r="G185" s="17" t="s">
        <v>114</v>
      </c>
      <c r="H185" s="17" t="s">
        <v>114</v>
      </c>
      <c r="I185" s="10">
        <f t="shared" si="2"/>
        <v>3</v>
      </c>
      <c r="J185" s="10" t="s">
        <v>115</v>
      </c>
    </row>
    <row r="186" spans="1:10" x14ac:dyDescent="0.35">
      <c r="A186" s="15" t="s">
        <v>162</v>
      </c>
      <c r="B186" s="15" t="s">
        <v>118</v>
      </c>
      <c r="C186" s="16"/>
      <c r="D186" s="16"/>
      <c r="E186" s="17" t="s">
        <v>114</v>
      </c>
      <c r="F186" s="16"/>
      <c r="G186" s="17" t="s">
        <v>114</v>
      </c>
      <c r="H186" s="17" t="s">
        <v>114</v>
      </c>
      <c r="I186" s="10">
        <f t="shared" si="2"/>
        <v>3</v>
      </c>
      <c r="J186" s="10" t="s">
        <v>115</v>
      </c>
    </row>
    <row r="187" spans="1:10" x14ac:dyDescent="0.35">
      <c r="A187" s="15" t="s">
        <v>162</v>
      </c>
      <c r="B187" s="15" t="s">
        <v>119</v>
      </c>
      <c r="C187" s="16"/>
      <c r="D187" s="16"/>
      <c r="E187" s="17" t="s">
        <v>114</v>
      </c>
      <c r="F187" s="16"/>
      <c r="G187" s="17" t="s">
        <v>114</v>
      </c>
      <c r="H187" s="17" t="s">
        <v>114</v>
      </c>
      <c r="I187" s="10">
        <f t="shared" si="2"/>
        <v>3</v>
      </c>
      <c r="J187" s="10" t="s">
        <v>115</v>
      </c>
    </row>
    <row r="188" spans="1:10" x14ac:dyDescent="0.35">
      <c r="A188" s="15" t="s">
        <v>162</v>
      </c>
      <c r="B188" s="15" t="s">
        <v>120</v>
      </c>
      <c r="C188" s="16"/>
      <c r="D188" s="16"/>
      <c r="E188" s="17" t="s">
        <v>114</v>
      </c>
      <c r="F188" s="16"/>
      <c r="G188" s="17" t="s">
        <v>114</v>
      </c>
      <c r="H188" s="17" t="s">
        <v>114</v>
      </c>
      <c r="I188" s="10">
        <f t="shared" si="2"/>
        <v>3</v>
      </c>
      <c r="J188" s="10" t="s">
        <v>115</v>
      </c>
    </row>
    <row r="189" spans="1:10" x14ac:dyDescent="0.35">
      <c r="A189" s="15" t="s">
        <v>162</v>
      </c>
      <c r="B189" s="15" t="s">
        <v>121</v>
      </c>
      <c r="C189" s="16"/>
      <c r="D189" s="16"/>
      <c r="E189" s="17" t="s">
        <v>114</v>
      </c>
      <c r="F189" s="16"/>
      <c r="G189" s="17" t="s">
        <v>114</v>
      </c>
      <c r="H189" s="17" t="s">
        <v>114</v>
      </c>
      <c r="I189" s="10">
        <f t="shared" si="2"/>
        <v>3</v>
      </c>
      <c r="J189" s="10" t="s">
        <v>115</v>
      </c>
    </row>
    <row r="190" spans="1:10" x14ac:dyDescent="0.35">
      <c r="A190" s="15" t="s">
        <v>163</v>
      </c>
      <c r="B190" s="15" t="s">
        <v>113</v>
      </c>
      <c r="C190" s="16"/>
      <c r="D190" s="16"/>
      <c r="E190" s="17" t="s">
        <v>114</v>
      </c>
      <c r="F190" s="16"/>
      <c r="G190" s="16"/>
      <c r="H190" s="17" t="s">
        <v>114</v>
      </c>
      <c r="I190" s="10">
        <f t="shared" si="2"/>
        <v>2</v>
      </c>
      <c r="J190" s="10" t="s">
        <v>115</v>
      </c>
    </row>
    <row r="191" spans="1:10" x14ac:dyDescent="0.35">
      <c r="A191" s="15" t="s">
        <v>163</v>
      </c>
      <c r="B191" s="15" t="s">
        <v>116</v>
      </c>
      <c r="C191" s="16"/>
      <c r="D191" s="16"/>
      <c r="E191" s="17" t="s">
        <v>114</v>
      </c>
      <c r="F191" s="16"/>
      <c r="G191" s="16"/>
      <c r="H191" s="17" t="s">
        <v>114</v>
      </c>
      <c r="I191" s="10">
        <f t="shared" si="2"/>
        <v>2</v>
      </c>
      <c r="J191" s="10" t="s">
        <v>115</v>
      </c>
    </row>
    <row r="192" spans="1:10" x14ac:dyDescent="0.35">
      <c r="A192" s="15" t="s">
        <v>163</v>
      </c>
      <c r="B192" s="15" t="s">
        <v>117</v>
      </c>
      <c r="C192" s="16"/>
      <c r="D192" s="16"/>
      <c r="E192" s="17" t="s">
        <v>114</v>
      </c>
      <c r="F192" s="16"/>
      <c r="G192" s="16"/>
      <c r="H192" s="17" t="s">
        <v>114</v>
      </c>
      <c r="I192" s="10">
        <f t="shared" si="2"/>
        <v>2</v>
      </c>
      <c r="J192" s="10" t="s">
        <v>115</v>
      </c>
    </row>
    <row r="193" spans="1:10" x14ac:dyDescent="0.35">
      <c r="A193" s="15" t="s">
        <v>163</v>
      </c>
      <c r="B193" s="15" t="s">
        <v>118</v>
      </c>
      <c r="C193" s="16"/>
      <c r="D193" s="16"/>
      <c r="E193" s="17" t="s">
        <v>114</v>
      </c>
      <c r="F193" s="16"/>
      <c r="G193" s="16"/>
      <c r="H193" s="17" t="s">
        <v>114</v>
      </c>
      <c r="I193" s="10">
        <f t="shared" si="2"/>
        <v>2</v>
      </c>
      <c r="J193" s="10" t="s">
        <v>115</v>
      </c>
    </row>
    <row r="194" spans="1:10" x14ac:dyDescent="0.35">
      <c r="A194" s="15" t="s">
        <v>163</v>
      </c>
      <c r="B194" s="15" t="s">
        <v>119</v>
      </c>
      <c r="C194" s="16"/>
      <c r="D194" s="16"/>
      <c r="E194" s="17" t="s">
        <v>114</v>
      </c>
      <c r="F194" s="16"/>
      <c r="G194" s="16"/>
      <c r="H194" s="17" t="s">
        <v>114</v>
      </c>
      <c r="I194" s="10">
        <f t="shared" ref="I194:I257" si="3">COUNTIF(C194:H194,"✓")</f>
        <v>2</v>
      </c>
      <c r="J194" s="10" t="s">
        <v>115</v>
      </c>
    </row>
    <row r="195" spans="1:10" x14ac:dyDescent="0.35">
      <c r="A195" s="15" t="s">
        <v>163</v>
      </c>
      <c r="B195" s="15" t="s">
        <v>120</v>
      </c>
      <c r="C195" s="16"/>
      <c r="D195" s="16"/>
      <c r="E195" s="17" t="s">
        <v>114</v>
      </c>
      <c r="F195" s="16"/>
      <c r="G195" s="16"/>
      <c r="H195" s="17" t="s">
        <v>114</v>
      </c>
      <c r="I195" s="10">
        <f t="shared" si="3"/>
        <v>2</v>
      </c>
      <c r="J195" s="10" t="s">
        <v>115</v>
      </c>
    </row>
    <row r="196" spans="1:10" x14ac:dyDescent="0.35">
      <c r="A196" s="15" t="s">
        <v>163</v>
      </c>
      <c r="B196" s="15" t="s">
        <v>121</v>
      </c>
      <c r="C196" s="16"/>
      <c r="D196" s="16"/>
      <c r="E196" s="17" t="s">
        <v>114</v>
      </c>
      <c r="F196" s="16"/>
      <c r="G196" s="16"/>
      <c r="H196" s="17" t="s">
        <v>114</v>
      </c>
      <c r="I196" s="10">
        <f t="shared" si="3"/>
        <v>2</v>
      </c>
      <c r="J196" s="10" t="s">
        <v>115</v>
      </c>
    </row>
    <row r="197" spans="1:10" x14ac:dyDescent="0.35">
      <c r="A197" s="15" t="s">
        <v>164</v>
      </c>
      <c r="B197" s="15" t="s">
        <v>113</v>
      </c>
      <c r="C197" s="16"/>
      <c r="D197" s="16"/>
      <c r="E197" s="17" t="s">
        <v>114</v>
      </c>
      <c r="F197" s="16"/>
      <c r="G197" s="16"/>
      <c r="H197" s="17" t="s">
        <v>114</v>
      </c>
      <c r="I197" s="10">
        <f t="shared" si="3"/>
        <v>2</v>
      </c>
      <c r="J197" s="10" t="s">
        <v>124</v>
      </c>
    </row>
    <row r="198" spans="1:10" x14ac:dyDescent="0.35">
      <c r="A198" s="15" t="s">
        <v>164</v>
      </c>
      <c r="B198" s="15" t="s">
        <v>125</v>
      </c>
      <c r="C198" s="16"/>
      <c r="D198" s="16"/>
      <c r="E198" s="17" t="s">
        <v>114</v>
      </c>
      <c r="F198" s="16"/>
      <c r="G198" s="16"/>
      <c r="H198" s="17" t="s">
        <v>114</v>
      </c>
      <c r="I198" s="10">
        <f t="shared" si="3"/>
        <v>2</v>
      </c>
      <c r="J198" s="10" t="s">
        <v>124</v>
      </c>
    </row>
    <row r="199" spans="1:10" x14ac:dyDescent="0.35">
      <c r="A199" s="15" t="s">
        <v>164</v>
      </c>
      <c r="B199" s="15" t="s">
        <v>118</v>
      </c>
      <c r="C199" s="16"/>
      <c r="D199" s="16"/>
      <c r="E199" s="17" t="s">
        <v>114</v>
      </c>
      <c r="F199" s="16"/>
      <c r="G199" s="16"/>
      <c r="H199" s="17" t="s">
        <v>114</v>
      </c>
      <c r="I199" s="10">
        <f t="shared" si="3"/>
        <v>2</v>
      </c>
      <c r="J199" s="10" t="s">
        <v>124</v>
      </c>
    </row>
    <row r="200" spans="1:10" x14ac:dyDescent="0.35">
      <c r="A200" s="15" t="s">
        <v>164</v>
      </c>
      <c r="B200" s="15" t="s">
        <v>121</v>
      </c>
      <c r="C200" s="16"/>
      <c r="D200" s="16"/>
      <c r="E200" s="17" t="s">
        <v>114</v>
      </c>
      <c r="F200" s="16"/>
      <c r="G200" s="16"/>
      <c r="H200" s="17" t="s">
        <v>114</v>
      </c>
      <c r="I200" s="10">
        <f t="shared" si="3"/>
        <v>2</v>
      </c>
      <c r="J200" s="10" t="s">
        <v>124</v>
      </c>
    </row>
    <row r="201" spans="1:10" x14ac:dyDescent="0.35">
      <c r="A201" s="15" t="s">
        <v>165</v>
      </c>
      <c r="B201" s="15" t="s">
        <v>113</v>
      </c>
      <c r="C201" s="16"/>
      <c r="D201" s="16"/>
      <c r="E201" s="17" t="s">
        <v>114</v>
      </c>
      <c r="F201" s="16"/>
      <c r="G201" s="16"/>
      <c r="H201" s="17" t="s">
        <v>114</v>
      </c>
      <c r="I201" s="10">
        <f t="shared" si="3"/>
        <v>2</v>
      </c>
      <c r="J201" s="10" t="s">
        <v>124</v>
      </c>
    </row>
    <row r="202" spans="1:10" x14ac:dyDescent="0.35">
      <c r="A202" s="15" t="s">
        <v>165</v>
      </c>
      <c r="B202" s="15" t="s">
        <v>125</v>
      </c>
      <c r="C202" s="16"/>
      <c r="D202" s="16"/>
      <c r="E202" s="17" t="s">
        <v>114</v>
      </c>
      <c r="F202" s="16"/>
      <c r="G202" s="16"/>
      <c r="H202" s="17" t="s">
        <v>114</v>
      </c>
      <c r="I202" s="10">
        <f t="shared" si="3"/>
        <v>2</v>
      </c>
      <c r="J202" s="10" t="s">
        <v>124</v>
      </c>
    </row>
    <row r="203" spans="1:10" x14ac:dyDescent="0.35">
      <c r="A203" s="15" t="s">
        <v>165</v>
      </c>
      <c r="B203" s="15" t="s">
        <v>118</v>
      </c>
      <c r="C203" s="16"/>
      <c r="D203" s="16"/>
      <c r="E203" s="17" t="s">
        <v>114</v>
      </c>
      <c r="F203" s="16"/>
      <c r="G203" s="16"/>
      <c r="H203" s="17" t="s">
        <v>114</v>
      </c>
      <c r="I203" s="10">
        <f t="shared" si="3"/>
        <v>2</v>
      </c>
      <c r="J203" s="10" t="s">
        <v>124</v>
      </c>
    </row>
    <row r="204" spans="1:10" x14ac:dyDescent="0.35">
      <c r="A204" s="15" t="s">
        <v>165</v>
      </c>
      <c r="B204" s="15" t="s">
        <v>121</v>
      </c>
      <c r="C204" s="16"/>
      <c r="D204" s="16"/>
      <c r="E204" s="17" t="s">
        <v>114</v>
      </c>
      <c r="F204" s="16"/>
      <c r="G204" s="16"/>
      <c r="H204" s="17" t="s">
        <v>114</v>
      </c>
      <c r="I204" s="10">
        <f t="shared" si="3"/>
        <v>2</v>
      </c>
      <c r="J204" s="10" t="s">
        <v>124</v>
      </c>
    </row>
    <row r="205" spans="1:10" x14ac:dyDescent="0.35">
      <c r="A205" s="15" t="s">
        <v>166</v>
      </c>
      <c r="B205" s="15" t="s">
        <v>113</v>
      </c>
      <c r="C205" s="16"/>
      <c r="D205" s="16"/>
      <c r="E205" s="17" t="s">
        <v>114</v>
      </c>
      <c r="F205" s="16"/>
      <c r="G205" s="17" t="s">
        <v>114</v>
      </c>
      <c r="H205" s="17" t="s">
        <v>114</v>
      </c>
      <c r="I205" s="10">
        <f t="shared" si="3"/>
        <v>3</v>
      </c>
      <c r="J205" s="10" t="s">
        <v>124</v>
      </c>
    </row>
    <row r="206" spans="1:10" x14ac:dyDescent="0.35">
      <c r="A206" s="15" t="s">
        <v>166</v>
      </c>
      <c r="B206" s="15" t="s">
        <v>125</v>
      </c>
      <c r="C206" s="16"/>
      <c r="D206" s="16"/>
      <c r="E206" s="17" t="s">
        <v>114</v>
      </c>
      <c r="F206" s="16"/>
      <c r="G206" s="16"/>
      <c r="H206" s="17" t="s">
        <v>114</v>
      </c>
      <c r="I206" s="10">
        <f t="shared" si="3"/>
        <v>2</v>
      </c>
      <c r="J206" s="10" t="s">
        <v>124</v>
      </c>
    </row>
    <row r="207" spans="1:10" x14ac:dyDescent="0.35">
      <c r="A207" s="15" t="s">
        <v>166</v>
      </c>
      <c r="B207" s="15" t="s">
        <v>118</v>
      </c>
      <c r="C207" s="16"/>
      <c r="D207" s="16"/>
      <c r="E207" s="17" t="s">
        <v>114</v>
      </c>
      <c r="F207" s="16"/>
      <c r="G207" s="17" t="s">
        <v>114</v>
      </c>
      <c r="H207" s="17" t="s">
        <v>114</v>
      </c>
      <c r="I207" s="10">
        <f t="shared" si="3"/>
        <v>3</v>
      </c>
      <c r="J207" s="10" t="s">
        <v>124</v>
      </c>
    </row>
    <row r="208" spans="1:10" x14ac:dyDescent="0.35">
      <c r="A208" s="15" t="s">
        <v>166</v>
      </c>
      <c r="B208" s="15" t="s">
        <v>121</v>
      </c>
      <c r="C208" s="16"/>
      <c r="D208" s="16"/>
      <c r="E208" s="17" t="s">
        <v>114</v>
      </c>
      <c r="F208" s="16"/>
      <c r="G208" s="16"/>
      <c r="H208" s="17" t="s">
        <v>114</v>
      </c>
      <c r="I208" s="10">
        <f t="shared" si="3"/>
        <v>2</v>
      </c>
      <c r="J208" s="10" t="s">
        <v>124</v>
      </c>
    </row>
    <row r="209" spans="1:10" x14ac:dyDescent="0.35">
      <c r="A209" s="15" t="s">
        <v>167</v>
      </c>
      <c r="B209" s="15" t="s">
        <v>113</v>
      </c>
      <c r="C209" s="16"/>
      <c r="D209" s="16"/>
      <c r="E209" s="17" t="s">
        <v>114</v>
      </c>
      <c r="F209" s="16"/>
      <c r="G209" s="16"/>
      <c r="H209" s="17" t="s">
        <v>114</v>
      </c>
      <c r="I209" s="10">
        <f t="shared" si="3"/>
        <v>2</v>
      </c>
      <c r="J209" s="10" t="s">
        <v>124</v>
      </c>
    </row>
    <row r="210" spans="1:10" x14ac:dyDescent="0.35">
      <c r="A210" s="15" t="s">
        <v>167</v>
      </c>
      <c r="B210" s="15" t="s">
        <v>125</v>
      </c>
      <c r="C210" s="16"/>
      <c r="D210" s="16"/>
      <c r="E210" s="17" t="s">
        <v>114</v>
      </c>
      <c r="F210" s="16"/>
      <c r="G210" s="16"/>
      <c r="H210" s="17" t="s">
        <v>114</v>
      </c>
      <c r="I210" s="10">
        <f t="shared" si="3"/>
        <v>2</v>
      </c>
      <c r="J210" s="10" t="s">
        <v>124</v>
      </c>
    </row>
    <row r="211" spans="1:10" x14ac:dyDescent="0.35">
      <c r="A211" s="15" t="s">
        <v>168</v>
      </c>
      <c r="B211" s="15" t="s">
        <v>113</v>
      </c>
      <c r="C211" s="16"/>
      <c r="D211" s="17" t="s">
        <v>114</v>
      </c>
      <c r="E211" s="17" t="s">
        <v>114</v>
      </c>
      <c r="F211" s="16"/>
      <c r="G211" s="17" t="s">
        <v>114</v>
      </c>
      <c r="H211" s="17" t="s">
        <v>114</v>
      </c>
      <c r="I211" s="10">
        <f t="shared" si="3"/>
        <v>4</v>
      </c>
      <c r="J211" s="10" t="s">
        <v>124</v>
      </c>
    </row>
    <row r="212" spans="1:10" x14ac:dyDescent="0.35">
      <c r="A212" s="15" t="s">
        <v>168</v>
      </c>
      <c r="B212" s="15" t="s">
        <v>125</v>
      </c>
      <c r="C212" s="16"/>
      <c r="D212" s="17" t="s">
        <v>114</v>
      </c>
      <c r="E212" s="17" t="s">
        <v>114</v>
      </c>
      <c r="F212" s="16"/>
      <c r="G212" s="17" t="s">
        <v>114</v>
      </c>
      <c r="H212" s="17" t="s">
        <v>114</v>
      </c>
      <c r="I212" s="10">
        <f t="shared" si="3"/>
        <v>4</v>
      </c>
      <c r="J212" s="10" t="s">
        <v>124</v>
      </c>
    </row>
    <row r="213" spans="1:10" x14ac:dyDescent="0.35">
      <c r="A213" s="15" t="s">
        <v>168</v>
      </c>
      <c r="B213" s="15" t="s">
        <v>118</v>
      </c>
      <c r="C213" s="16"/>
      <c r="D213" s="17" t="s">
        <v>114</v>
      </c>
      <c r="E213" s="17" t="s">
        <v>114</v>
      </c>
      <c r="F213" s="16"/>
      <c r="G213" s="17" t="s">
        <v>114</v>
      </c>
      <c r="H213" s="17" t="s">
        <v>114</v>
      </c>
      <c r="I213" s="10">
        <f t="shared" si="3"/>
        <v>4</v>
      </c>
      <c r="J213" s="10" t="s">
        <v>124</v>
      </c>
    </row>
    <row r="214" spans="1:10" x14ac:dyDescent="0.35">
      <c r="A214" s="15" t="s">
        <v>168</v>
      </c>
      <c r="B214" s="15" t="s">
        <v>121</v>
      </c>
      <c r="C214" s="16"/>
      <c r="D214" s="17" t="s">
        <v>114</v>
      </c>
      <c r="E214" s="17" t="s">
        <v>114</v>
      </c>
      <c r="F214" s="16"/>
      <c r="G214" s="17" t="s">
        <v>114</v>
      </c>
      <c r="H214" s="17" t="s">
        <v>114</v>
      </c>
      <c r="I214" s="10">
        <f t="shared" si="3"/>
        <v>4</v>
      </c>
      <c r="J214" s="10" t="s">
        <v>124</v>
      </c>
    </row>
    <row r="215" spans="1:10" x14ac:dyDescent="0.35">
      <c r="A215" s="15" t="s">
        <v>169</v>
      </c>
      <c r="B215" s="15" t="s">
        <v>113</v>
      </c>
      <c r="C215" s="16"/>
      <c r="D215" s="16"/>
      <c r="E215" s="17" t="s">
        <v>114</v>
      </c>
      <c r="F215" s="16"/>
      <c r="G215" s="16"/>
      <c r="H215" s="17" t="s">
        <v>114</v>
      </c>
      <c r="I215" s="10">
        <f t="shared" si="3"/>
        <v>2</v>
      </c>
      <c r="J215" s="10" t="s">
        <v>124</v>
      </c>
    </row>
    <row r="216" spans="1:10" x14ac:dyDescent="0.35">
      <c r="A216" s="15" t="s">
        <v>169</v>
      </c>
      <c r="B216" s="15" t="s">
        <v>125</v>
      </c>
      <c r="C216" s="16"/>
      <c r="D216" s="16"/>
      <c r="E216" s="17" t="s">
        <v>114</v>
      </c>
      <c r="F216" s="16"/>
      <c r="G216" s="16"/>
      <c r="H216" s="17" t="s">
        <v>114</v>
      </c>
      <c r="I216" s="10">
        <f t="shared" si="3"/>
        <v>2</v>
      </c>
      <c r="J216" s="10" t="s">
        <v>124</v>
      </c>
    </row>
    <row r="217" spans="1:10" x14ac:dyDescent="0.35">
      <c r="A217" s="15" t="s">
        <v>169</v>
      </c>
      <c r="B217" s="15" t="s">
        <v>118</v>
      </c>
      <c r="C217" s="16"/>
      <c r="D217" s="16"/>
      <c r="E217" s="17" t="s">
        <v>114</v>
      </c>
      <c r="F217" s="16"/>
      <c r="G217" s="16"/>
      <c r="H217" s="17" t="s">
        <v>114</v>
      </c>
      <c r="I217" s="10">
        <f t="shared" si="3"/>
        <v>2</v>
      </c>
      <c r="J217" s="10" t="s">
        <v>124</v>
      </c>
    </row>
    <row r="218" spans="1:10" x14ac:dyDescent="0.35">
      <c r="A218" s="15" t="s">
        <v>169</v>
      </c>
      <c r="B218" s="15" t="s">
        <v>121</v>
      </c>
      <c r="C218" s="16"/>
      <c r="D218" s="16"/>
      <c r="E218" s="17" t="s">
        <v>114</v>
      </c>
      <c r="F218" s="16"/>
      <c r="G218" s="16"/>
      <c r="H218" s="17" t="s">
        <v>114</v>
      </c>
      <c r="I218" s="10">
        <f t="shared" si="3"/>
        <v>2</v>
      </c>
      <c r="J218" s="10" t="s">
        <v>124</v>
      </c>
    </row>
    <row r="219" spans="1:10" x14ac:dyDescent="0.35">
      <c r="A219" s="15" t="s">
        <v>170</v>
      </c>
      <c r="B219" s="15" t="s">
        <v>113</v>
      </c>
      <c r="C219" s="16"/>
      <c r="D219" s="16"/>
      <c r="E219" s="17" t="s">
        <v>114</v>
      </c>
      <c r="F219" s="16"/>
      <c r="G219" s="16"/>
      <c r="H219" s="17" t="s">
        <v>114</v>
      </c>
      <c r="I219" s="10">
        <f t="shared" si="3"/>
        <v>2</v>
      </c>
      <c r="J219" s="10" t="s">
        <v>124</v>
      </c>
    </row>
    <row r="220" spans="1:10" x14ac:dyDescent="0.35">
      <c r="A220" s="15" t="s">
        <v>170</v>
      </c>
      <c r="B220" s="15" t="s">
        <v>125</v>
      </c>
      <c r="C220" s="16"/>
      <c r="D220" s="16"/>
      <c r="E220" s="17" t="s">
        <v>114</v>
      </c>
      <c r="F220" s="16"/>
      <c r="G220" s="16"/>
      <c r="H220" s="17" t="s">
        <v>114</v>
      </c>
      <c r="I220" s="10">
        <f t="shared" si="3"/>
        <v>2</v>
      </c>
      <c r="J220" s="10" t="s">
        <v>124</v>
      </c>
    </row>
    <row r="221" spans="1:10" x14ac:dyDescent="0.35">
      <c r="A221" s="15" t="s">
        <v>170</v>
      </c>
      <c r="B221" s="15" t="s">
        <v>118</v>
      </c>
      <c r="C221" s="16"/>
      <c r="D221" s="16"/>
      <c r="E221" s="17" t="s">
        <v>114</v>
      </c>
      <c r="F221" s="16"/>
      <c r="G221" s="16"/>
      <c r="H221" s="17" t="s">
        <v>114</v>
      </c>
      <c r="I221" s="10">
        <f t="shared" si="3"/>
        <v>2</v>
      </c>
      <c r="J221" s="10" t="s">
        <v>124</v>
      </c>
    </row>
    <row r="222" spans="1:10" x14ac:dyDescent="0.35">
      <c r="A222" s="15" t="s">
        <v>170</v>
      </c>
      <c r="B222" s="15" t="s">
        <v>121</v>
      </c>
      <c r="C222" s="16"/>
      <c r="D222" s="16"/>
      <c r="E222" s="17" t="s">
        <v>114</v>
      </c>
      <c r="F222" s="16"/>
      <c r="G222" s="16"/>
      <c r="H222" s="17" t="s">
        <v>114</v>
      </c>
      <c r="I222" s="10">
        <f t="shared" si="3"/>
        <v>2</v>
      </c>
      <c r="J222" s="10" t="s">
        <v>124</v>
      </c>
    </row>
    <row r="223" spans="1:10" x14ac:dyDescent="0.35">
      <c r="A223" s="15" t="s">
        <v>171</v>
      </c>
      <c r="B223" s="15" t="s">
        <v>113</v>
      </c>
      <c r="C223" s="16"/>
      <c r="D223" s="16"/>
      <c r="E223" s="17" t="s">
        <v>114</v>
      </c>
      <c r="F223" s="16"/>
      <c r="G223" s="16"/>
      <c r="H223" s="17" t="s">
        <v>114</v>
      </c>
      <c r="I223" s="10">
        <f t="shared" si="3"/>
        <v>2</v>
      </c>
      <c r="J223" s="10" t="s">
        <v>115</v>
      </c>
    </row>
    <row r="224" spans="1:10" x14ac:dyDescent="0.35">
      <c r="A224" s="15" t="s">
        <v>171</v>
      </c>
      <c r="B224" s="15" t="s">
        <v>116</v>
      </c>
      <c r="C224" s="16"/>
      <c r="D224" s="16"/>
      <c r="E224" s="17" t="s">
        <v>114</v>
      </c>
      <c r="F224" s="16"/>
      <c r="G224" s="16"/>
      <c r="H224" s="17" t="s">
        <v>114</v>
      </c>
      <c r="I224" s="10">
        <f t="shared" si="3"/>
        <v>2</v>
      </c>
      <c r="J224" s="10" t="s">
        <v>115</v>
      </c>
    </row>
    <row r="225" spans="1:10" x14ac:dyDescent="0.35">
      <c r="A225" s="15" t="s">
        <v>171</v>
      </c>
      <c r="B225" s="15" t="s">
        <v>117</v>
      </c>
      <c r="C225" s="16"/>
      <c r="D225" s="16"/>
      <c r="E225" s="17" t="s">
        <v>114</v>
      </c>
      <c r="F225" s="16"/>
      <c r="G225" s="16"/>
      <c r="H225" s="17" t="s">
        <v>114</v>
      </c>
      <c r="I225" s="10">
        <f t="shared" si="3"/>
        <v>2</v>
      </c>
      <c r="J225" s="10" t="s">
        <v>115</v>
      </c>
    </row>
    <row r="226" spans="1:10" x14ac:dyDescent="0.35">
      <c r="A226" s="15" t="s">
        <v>171</v>
      </c>
      <c r="B226" s="15" t="s">
        <v>118</v>
      </c>
      <c r="C226" s="16"/>
      <c r="D226" s="16"/>
      <c r="E226" s="17" t="s">
        <v>114</v>
      </c>
      <c r="F226" s="16"/>
      <c r="G226" s="16"/>
      <c r="H226" s="17" t="s">
        <v>114</v>
      </c>
      <c r="I226" s="10">
        <f t="shared" si="3"/>
        <v>2</v>
      </c>
      <c r="J226" s="10" t="s">
        <v>115</v>
      </c>
    </row>
    <row r="227" spans="1:10" x14ac:dyDescent="0.35">
      <c r="A227" s="15" t="s">
        <v>171</v>
      </c>
      <c r="B227" s="15" t="s">
        <v>119</v>
      </c>
      <c r="C227" s="16"/>
      <c r="D227" s="16"/>
      <c r="E227" s="17" t="s">
        <v>114</v>
      </c>
      <c r="F227" s="16"/>
      <c r="G227" s="16"/>
      <c r="H227" s="17" t="s">
        <v>114</v>
      </c>
      <c r="I227" s="10">
        <f t="shared" si="3"/>
        <v>2</v>
      </c>
      <c r="J227" s="10" t="s">
        <v>115</v>
      </c>
    </row>
    <row r="228" spans="1:10" x14ac:dyDescent="0.35">
      <c r="A228" s="15" t="s">
        <v>171</v>
      </c>
      <c r="B228" s="15" t="s">
        <v>120</v>
      </c>
      <c r="C228" s="16"/>
      <c r="D228" s="16"/>
      <c r="E228" s="17" t="s">
        <v>114</v>
      </c>
      <c r="F228" s="16"/>
      <c r="G228" s="16"/>
      <c r="H228" s="17" t="s">
        <v>114</v>
      </c>
      <c r="I228" s="10">
        <f t="shared" si="3"/>
        <v>2</v>
      </c>
      <c r="J228" s="10" t="s">
        <v>115</v>
      </c>
    </row>
    <row r="229" spans="1:10" x14ac:dyDescent="0.35">
      <c r="A229" s="15" t="s">
        <v>171</v>
      </c>
      <c r="B229" s="15" t="s">
        <v>121</v>
      </c>
      <c r="C229" s="16"/>
      <c r="D229" s="16"/>
      <c r="E229" s="17" t="s">
        <v>114</v>
      </c>
      <c r="F229" s="16"/>
      <c r="G229" s="16"/>
      <c r="H229" s="17" t="s">
        <v>114</v>
      </c>
      <c r="I229" s="10">
        <f t="shared" si="3"/>
        <v>2</v>
      </c>
      <c r="J229" s="10" t="s">
        <v>115</v>
      </c>
    </row>
    <row r="230" spans="1:10" x14ac:dyDescent="0.35">
      <c r="A230" s="15" t="s">
        <v>172</v>
      </c>
      <c r="B230" s="15" t="s">
        <v>113</v>
      </c>
      <c r="C230" s="16"/>
      <c r="D230" s="17" t="s">
        <v>114</v>
      </c>
      <c r="E230" s="16"/>
      <c r="F230" s="17" t="s">
        <v>114</v>
      </c>
      <c r="G230" s="16"/>
      <c r="H230" s="17" t="s">
        <v>114</v>
      </c>
      <c r="I230" s="10">
        <f t="shared" si="3"/>
        <v>3</v>
      </c>
      <c r="J230" s="10" t="s">
        <v>124</v>
      </c>
    </row>
    <row r="231" spans="1:10" x14ac:dyDescent="0.35">
      <c r="A231" s="15" t="s">
        <v>172</v>
      </c>
      <c r="B231" s="15" t="s">
        <v>125</v>
      </c>
      <c r="C231" s="16"/>
      <c r="D231" s="17" t="s">
        <v>114</v>
      </c>
      <c r="E231" s="16"/>
      <c r="F231" s="17" t="s">
        <v>114</v>
      </c>
      <c r="G231" s="16"/>
      <c r="H231" s="17" t="s">
        <v>114</v>
      </c>
      <c r="I231" s="10">
        <f t="shared" si="3"/>
        <v>3</v>
      </c>
      <c r="J231" s="10" t="s">
        <v>124</v>
      </c>
    </row>
    <row r="232" spans="1:10" x14ac:dyDescent="0.35">
      <c r="A232" s="15" t="s">
        <v>172</v>
      </c>
      <c r="B232" s="15" t="s">
        <v>118</v>
      </c>
      <c r="C232" s="16"/>
      <c r="D232" s="17" t="s">
        <v>114</v>
      </c>
      <c r="E232" s="16"/>
      <c r="F232" s="17" t="s">
        <v>114</v>
      </c>
      <c r="G232" s="16"/>
      <c r="H232" s="17" t="s">
        <v>114</v>
      </c>
      <c r="I232" s="10">
        <f t="shared" si="3"/>
        <v>3</v>
      </c>
      <c r="J232" s="10" t="s">
        <v>124</v>
      </c>
    </row>
    <row r="233" spans="1:10" x14ac:dyDescent="0.35">
      <c r="A233" s="15" t="s">
        <v>172</v>
      </c>
      <c r="B233" s="15" t="s">
        <v>121</v>
      </c>
      <c r="C233" s="16"/>
      <c r="D233" s="17" t="s">
        <v>114</v>
      </c>
      <c r="E233" s="16"/>
      <c r="F233" s="17" t="s">
        <v>114</v>
      </c>
      <c r="G233" s="16"/>
      <c r="H233" s="17" t="s">
        <v>114</v>
      </c>
      <c r="I233" s="10">
        <f t="shared" si="3"/>
        <v>3</v>
      </c>
      <c r="J233" s="10" t="s">
        <v>124</v>
      </c>
    </row>
    <row r="234" spans="1:10" x14ac:dyDescent="0.35">
      <c r="A234" s="15" t="s">
        <v>173</v>
      </c>
      <c r="B234" s="15" t="s">
        <v>113</v>
      </c>
      <c r="C234" s="16"/>
      <c r="D234" s="17" t="s">
        <v>114</v>
      </c>
      <c r="E234" s="16"/>
      <c r="F234" s="17" t="s">
        <v>114</v>
      </c>
      <c r="G234" s="16"/>
      <c r="H234" s="17" t="s">
        <v>114</v>
      </c>
      <c r="I234" s="10">
        <f t="shared" si="3"/>
        <v>3</v>
      </c>
      <c r="J234" s="10" t="s">
        <v>124</v>
      </c>
    </row>
    <row r="235" spans="1:10" x14ac:dyDescent="0.35">
      <c r="A235" s="15" t="s">
        <v>173</v>
      </c>
      <c r="B235" s="15" t="s">
        <v>125</v>
      </c>
      <c r="C235" s="16"/>
      <c r="D235" s="17" t="s">
        <v>114</v>
      </c>
      <c r="E235" s="16"/>
      <c r="F235" s="17" t="s">
        <v>114</v>
      </c>
      <c r="G235" s="16"/>
      <c r="H235" s="17" t="s">
        <v>114</v>
      </c>
      <c r="I235" s="10">
        <f t="shared" si="3"/>
        <v>3</v>
      </c>
      <c r="J235" s="10" t="s">
        <v>124</v>
      </c>
    </row>
    <row r="236" spans="1:10" x14ac:dyDescent="0.35">
      <c r="A236" s="15" t="s">
        <v>173</v>
      </c>
      <c r="B236" s="15" t="s">
        <v>118</v>
      </c>
      <c r="C236" s="16"/>
      <c r="D236" s="17" t="s">
        <v>114</v>
      </c>
      <c r="E236" s="16"/>
      <c r="F236" s="17" t="s">
        <v>114</v>
      </c>
      <c r="G236" s="16"/>
      <c r="H236" s="17" t="s">
        <v>114</v>
      </c>
      <c r="I236" s="10">
        <f t="shared" si="3"/>
        <v>3</v>
      </c>
      <c r="J236" s="10" t="s">
        <v>124</v>
      </c>
    </row>
    <row r="237" spans="1:10" x14ac:dyDescent="0.35">
      <c r="A237" s="15" t="s">
        <v>173</v>
      </c>
      <c r="B237" s="15" t="s">
        <v>121</v>
      </c>
      <c r="C237" s="16"/>
      <c r="D237" s="17" t="s">
        <v>114</v>
      </c>
      <c r="E237" s="16"/>
      <c r="F237" s="17" t="s">
        <v>114</v>
      </c>
      <c r="G237" s="16"/>
      <c r="H237" s="17" t="s">
        <v>114</v>
      </c>
      <c r="I237" s="10">
        <f t="shared" si="3"/>
        <v>3</v>
      </c>
      <c r="J237" s="10" t="s">
        <v>124</v>
      </c>
    </row>
    <row r="238" spans="1:10" x14ac:dyDescent="0.35">
      <c r="A238" s="15" t="s">
        <v>174</v>
      </c>
      <c r="B238" s="15" t="s">
        <v>113</v>
      </c>
      <c r="C238" s="16"/>
      <c r="D238" s="17" t="s">
        <v>114</v>
      </c>
      <c r="E238" s="16"/>
      <c r="F238" s="17" t="s">
        <v>114</v>
      </c>
      <c r="G238" s="16"/>
      <c r="H238" s="17" t="s">
        <v>114</v>
      </c>
      <c r="I238" s="10">
        <f t="shared" si="3"/>
        <v>3</v>
      </c>
      <c r="J238" s="10" t="s">
        <v>124</v>
      </c>
    </row>
    <row r="239" spans="1:10" x14ac:dyDescent="0.35">
      <c r="A239" s="15" t="s">
        <v>174</v>
      </c>
      <c r="B239" s="15" t="s">
        <v>125</v>
      </c>
      <c r="C239" s="16"/>
      <c r="D239" s="17" t="s">
        <v>114</v>
      </c>
      <c r="E239" s="16"/>
      <c r="F239" s="17" t="s">
        <v>114</v>
      </c>
      <c r="G239" s="16"/>
      <c r="H239" s="17" t="s">
        <v>114</v>
      </c>
      <c r="I239" s="10">
        <f t="shared" si="3"/>
        <v>3</v>
      </c>
      <c r="J239" s="10" t="s">
        <v>124</v>
      </c>
    </row>
    <row r="240" spans="1:10" x14ac:dyDescent="0.35">
      <c r="A240" s="15" t="s">
        <v>174</v>
      </c>
      <c r="B240" s="15" t="s">
        <v>118</v>
      </c>
      <c r="C240" s="16"/>
      <c r="D240" s="17" t="s">
        <v>114</v>
      </c>
      <c r="E240" s="16"/>
      <c r="F240" s="17" t="s">
        <v>114</v>
      </c>
      <c r="G240" s="16"/>
      <c r="H240" s="17" t="s">
        <v>114</v>
      </c>
      <c r="I240" s="10">
        <f t="shared" si="3"/>
        <v>3</v>
      </c>
      <c r="J240" s="10" t="s">
        <v>124</v>
      </c>
    </row>
    <row r="241" spans="1:10" x14ac:dyDescent="0.35">
      <c r="A241" s="15" t="s">
        <v>174</v>
      </c>
      <c r="B241" s="15" t="s">
        <v>121</v>
      </c>
      <c r="C241" s="16"/>
      <c r="D241" s="17" t="s">
        <v>114</v>
      </c>
      <c r="E241" s="16"/>
      <c r="F241" s="17" t="s">
        <v>114</v>
      </c>
      <c r="G241" s="16"/>
      <c r="H241" s="17" t="s">
        <v>114</v>
      </c>
      <c r="I241" s="10">
        <f t="shared" si="3"/>
        <v>3</v>
      </c>
      <c r="J241" s="10" t="s">
        <v>124</v>
      </c>
    </row>
    <row r="242" spans="1:10" x14ac:dyDescent="0.35">
      <c r="A242" s="15" t="s">
        <v>175</v>
      </c>
      <c r="B242" s="15" t="s">
        <v>113</v>
      </c>
      <c r="C242" s="16"/>
      <c r="D242" s="17" t="s">
        <v>114</v>
      </c>
      <c r="E242" s="16"/>
      <c r="F242" s="17" t="s">
        <v>114</v>
      </c>
      <c r="G242" s="16"/>
      <c r="H242" s="17" t="s">
        <v>114</v>
      </c>
      <c r="I242" s="10">
        <f t="shared" si="3"/>
        <v>3</v>
      </c>
      <c r="J242" s="10" t="s">
        <v>124</v>
      </c>
    </row>
    <row r="243" spans="1:10" x14ac:dyDescent="0.35">
      <c r="A243" s="15" t="s">
        <v>175</v>
      </c>
      <c r="B243" s="15" t="s">
        <v>125</v>
      </c>
      <c r="C243" s="16"/>
      <c r="D243" s="17" t="s">
        <v>114</v>
      </c>
      <c r="E243" s="16"/>
      <c r="F243" s="17" t="s">
        <v>114</v>
      </c>
      <c r="G243" s="16"/>
      <c r="H243" s="17" t="s">
        <v>114</v>
      </c>
      <c r="I243" s="10">
        <f t="shared" si="3"/>
        <v>3</v>
      </c>
      <c r="J243" s="10" t="s">
        <v>124</v>
      </c>
    </row>
    <row r="244" spans="1:10" x14ac:dyDescent="0.35">
      <c r="A244" s="15" t="s">
        <v>175</v>
      </c>
      <c r="B244" s="15" t="s">
        <v>118</v>
      </c>
      <c r="C244" s="16"/>
      <c r="D244" s="17" t="s">
        <v>114</v>
      </c>
      <c r="E244" s="16"/>
      <c r="F244" s="17" t="s">
        <v>114</v>
      </c>
      <c r="G244" s="16"/>
      <c r="H244" s="17" t="s">
        <v>114</v>
      </c>
      <c r="I244" s="10">
        <f t="shared" si="3"/>
        <v>3</v>
      </c>
      <c r="J244" s="10" t="s">
        <v>124</v>
      </c>
    </row>
    <row r="245" spans="1:10" x14ac:dyDescent="0.35">
      <c r="A245" s="15" t="s">
        <v>175</v>
      </c>
      <c r="B245" s="15" t="s">
        <v>121</v>
      </c>
      <c r="C245" s="16"/>
      <c r="D245" s="17" t="s">
        <v>114</v>
      </c>
      <c r="E245" s="16"/>
      <c r="F245" s="17" t="s">
        <v>114</v>
      </c>
      <c r="G245" s="16"/>
      <c r="H245" s="17" t="s">
        <v>114</v>
      </c>
      <c r="I245" s="10">
        <f t="shared" si="3"/>
        <v>3</v>
      </c>
      <c r="J245" s="10" t="s">
        <v>124</v>
      </c>
    </row>
    <row r="246" spans="1:10" x14ac:dyDescent="0.35">
      <c r="A246" s="15" t="s">
        <v>176</v>
      </c>
      <c r="B246" s="15" t="s">
        <v>113</v>
      </c>
      <c r="C246" s="16"/>
      <c r="D246" s="17" t="s">
        <v>114</v>
      </c>
      <c r="E246" s="16"/>
      <c r="F246" s="17" t="s">
        <v>114</v>
      </c>
      <c r="G246" s="16"/>
      <c r="H246" s="17" t="s">
        <v>114</v>
      </c>
      <c r="I246" s="10">
        <f t="shared" si="3"/>
        <v>3</v>
      </c>
      <c r="J246" s="10" t="s">
        <v>115</v>
      </c>
    </row>
    <row r="247" spans="1:10" x14ac:dyDescent="0.35">
      <c r="A247" s="15" t="s">
        <v>176</v>
      </c>
      <c r="B247" s="15" t="s">
        <v>116</v>
      </c>
      <c r="C247" s="16"/>
      <c r="D247" s="17" t="s">
        <v>114</v>
      </c>
      <c r="E247" s="16"/>
      <c r="F247" s="17" t="s">
        <v>114</v>
      </c>
      <c r="G247" s="16"/>
      <c r="H247" s="17" t="s">
        <v>114</v>
      </c>
      <c r="I247" s="10">
        <f t="shared" si="3"/>
        <v>3</v>
      </c>
      <c r="J247" s="10" t="s">
        <v>115</v>
      </c>
    </row>
    <row r="248" spans="1:10" x14ac:dyDescent="0.35">
      <c r="A248" s="15" t="s">
        <v>176</v>
      </c>
      <c r="B248" s="15" t="s">
        <v>117</v>
      </c>
      <c r="C248" s="16"/>
      <c r="D248" s="17" t="s">
        <v>114</v>
      </c>
      <c r="E248" s="16"/>
      <c r="F248" s="17" t="s">
        <v>114</v>
      </c>
      <c r="G248" s="16"/>
      <c r="H248" s="17" t="s">
        <v>114</v>
      </c>
      <c r="I248" s="10">
        <f t="shared" si="3"/>
        <v>3</v>
      </c>
      <c r="J248" s="10" t="s">
        <v>115</v>
      </c>
    </row>
    <row r="249" spans="1:10" x14ac:dyDescent="0.35">
      <c r="A249" s="15" t="s">
        <v>176</v>
      </c>
      <c r="B249" s="15" t="s">
        <v>118</v>
      </c>
      <c r="C249" s="16"/>
      <c r="D249" s="17" t="s">
        <v>114</v>
      </c>
      <c r="E249" s="16"/>
      <c r="F249" s="17" t="s">
        <v>114</v>
      </c>
      <c r="G249" s="16"/>
      <c r="H249" s="17" t="s">
        <v>114</v>
      </c>
      <c r="I249" s="10">
        <f t="shared" si="3"/>
        <v>3</v>
      </c>
      <c r="J249" s="10" t="s">
        <v>115</v>
      </c>
    </row>
    <row r="250" spans="1:10" x14ac:dyDescent="0.35">
      <c r="A250" s="15" t="s">
        <v>176</v>
      </c>
      <c r="B250" s="15" t="s">
        <v>119</v>
      </c>
      <c r="C250" s="16"/>
      <c r="D250" s="17" t="s">
        <v>114</v>
      </c>
      <c r="E250" s="16"/>
      <c r="F250" s="17" t="s">
        <v>114</v>
      </c>
      <c r="G250" s="16"/>
      <c r="H250" s="17" t="s">
        <v>114</v>
      </c>
      <c r="I250" s="10">
        <f t="shared" si="3"/>
        <v>3</v>
      </c>
      <c r="J250" s="10" t="s">
        <v>115</v>
      </c>
    </row>
    <row r="251" spans="1:10" x14ac:dyDescent="0.35">
      <c r="A251" s="15" t="s">
        <v>176</v>
      </c>
      <c r="B251" s="15" t="s">
        <v>120</v>
      </c>
      <c r="C251" s="16"/>
      <c r="D251" s="17" t="s">
        <v>114</v>
      </c>
      <c r="E251" s="16"/>
      <c r="F251" s="17" t="s">
        <v>114</v>
      </c>
      <c r="G251" s="16"/>
      <c r="H251" s="17" t="s">
        <v>114</v>
      </c>
      <c r="I251" s="10">
        <f t="shared" si="3"/>
        <v>3</v>
      </c>
      <c r="J251" s="10" t="s">
        <v>115</v>
      </c>
    </row>
    <row r="252" spans="1:10" x14ac:dyDescent="0.35">
      <c r="A252" s="15" t="s">
        <v>176</v>
      </c>
      <c r="B252" s="15" t="s">
        <v>121</v>
      </c>
      <c r="C252" s="16"/>
      <c r="D252" s="17" t="s">
        <v>114</v>
      </c>
      <c r="E252" s="16"/>
      <c r="F252" s="17" t="s">
        <v>114</v>
      </c>
      <c r="G252" s="16"/>
      <c r="H252" s="17" t="s">
        <v>114</v>
      </c>
      <c r="I252" s="10">
        <f t="shared" si="3"/>
        <v>3</v>
      </c>
      <c r="J252" s="10" t="s">
        <v>115</v>
      </c>
    </row>
    <row r="253" spans="1:10" x14ac:dyDescent="0.35">
      <c r="A253" s="15" t="s">
        <v>177</v>
      </c>
      <c r="B253" s="15" t="s">
        <v>113</v>
      </c>
      <c r="C253" s="16"/>
      <c r="D253" s="17" t="s">
        <v>114</v>
      </c>
      <c r="E253" s="16"/>
      <c r="F253" s="17" t="s">
        <v>114</v>
      </c>
      <c r="G253" s="16"/>
      <c r="H253" s="17" t="s">
        <v>114</v>
      </c>
      <c r="I253" s="10">
        <f t="shared" si="3"/>
        <v>3</v>
      </c>
      <c r="J253" s="10" t="s">
        <v>124</v>
      </c>
    </row>
    <row r="254" spans="1:10" x14ac:dyDescent="0.35">
      <c r="A254" s="15" t="s">
        <v>177</v>
      </c>
      <c r="B254" s="15" t="s">
        <v>125</v>
      </c>
      <c r="C254" s="16"/>
      <c r="D254" s="17" t="s">
        <v>114</v>
      </c>
      <c r="E254" s="16"/>
      <c r="F254" s="17" t="s">
        <v>114</v>
      </c>
      <c r="G254" s="16"/>
      <c r="H254" s="17" t="s">
        <v>114</v>
      </c>
      <c r="I254" s="10">
        <f t="shared" si="3"/>
        <v>3</v>
      </c>
      <c r="J254" s="10" t="s">
        <v>124</v>
      </c>
    </row>
    <row r="255" spans="1:10" x14ac:dyDescent="0.35">
      <c r="A255" s="15" t="s">
        <v>177</v>
      </c>
      <c r="B255" s="15" t="s">
        <v>118</v>
      </c>
      <c r="C255" s="16"/>
      <c r="D255" s="17" t="s">
        <v>114</v>
      </c>
      <c r="E255" s="16"/>
      <c r="F255" s="17" t="s">
        <v>114</v>
      </c>
      <c r="G255" s="16"/>
      <c r="H255" s="17" t="s">
        <v>114</v>
      </c>
      <c r="I255" s="10">
        <f t="shared" si="3"/>
        <v>3</v>
      </c>
      <c r="J255" s="10" t="s">
        <v>124</v>
      </c>
    </row>
    <row r="256" spans="1:10" x14ac:dyDescent="0.35">
      <c r="A256" s="15" t="s">
        <v>177</v>
      </c>
      <c r="B256" s="15" t="s">
        <v>121</v>
      </c>
      <c r="C256" s="16"/>
      <c r="D256" s="17" t="s">
        <v>114</v>
      </c>
      <c r="E256" s="16"/>
      <c r="F256" s="17" t="s">
        <v>114</v>
      </c>
      <c r="G256" s="16"/>
      <c r="H256" s="17" t="s">
        <v>114</v>
      </c>
      <c r="I256" s="10">
        <f t="shared" si="3"/>
        <v>3</v>
      </c>
      <c r="J256" s="10" t="s">
        <v>124</v>
      </c>
    </row>
    <row r="257" spans="1:10" x14ac:dyDescent="0.35">
      <c r="A257" s="15" t="s">
        <v>178</v>
      </c>
      <c r="B257" s="15" t="s">
        <v>113</v>
      </c>
      <c r="C257" s="16"/>
      <c r="D257" s="17" t="s">
        <v>114</v>
      </c>
      <c r="E257" s="16"/>
      <c r="F257" s="17" t="s">
        <v>114</v>
      </c>
      <c r="G257" s="16"/>
      <c r="H257" s="17" t="s">
        <v>114</v>
      </c>
      <c r="I257" s="10">
        <f t="shared" si="3"/>
        <v>3</v>
      </c>
      <c r="J257" s="10" t="s">
        <v>124</v>
      </c>
    </row>
    <row r="258" spans="1:10" x14ac:dyDescent="0.35">
      <c r="A258" s="15" t="s">
        <v>178</v>
      </c>
      <c r="B258" s="15" t="s">
        <v>125</v>
      </c>
      <c r="C258" s="16"/>
      <c r="D258" s="17" t="s">
        <v>114</v>
      </c>
      <c r="E258" s="16"/>
      <c r="F258" s="17" t="s">
        <v>114</v>
      </c>
      <c r="G258" s="16"/>
      <c r="H258" s="17" t="s">
        <v>114</v>
      </c>
      <c r="I258" s="10">
        <f t="shared" ref="I258:I321" si="4">COUNTIF(C258:H258,"✓")</f>
        <v>3</v>
      </c>
      <c r="J258" s="10" t="s">
        <v>124</v>
      </c>
    </row>
    <row r="259" spans="1:10" x14ac:dyDescent="0.35">
      <c r="A259" s="15" t="s">
        <v>178</v>
      </c>
      <c r="B259" s="15" t="s">
        <v>118</v>
      </c>
      <c r="C259" s="16"/>
      <c r="D259" s="17" t="s">
        <v>114</v>
      </c>
      <c r="E259" s="16"/>
      <c r="F259" s="17" t="s">
        <v>114</v>
      </c>
      <c r="G259" s="16"/>
      <c r="H259" s="17" t="s">
        <v>114</v>
      </c>
      <c r="I259" s="10">
        <f t="shared" si="4"/>
        <v>3</v>
      </c>
      <c r="J259" s="10" t="s">
        <v>124</v>
      </c>
    </row>
    <row r="260" spans="1:10" x14ac:dyDescent="0.35">
      <c r="A260" s="15" t="s">
        <v>178</v>
      </c>
      <c r="B260" s="15" t="s">
        <v>121</v>
      </c>
      <c r="C260" s="16"/>
      <c r="D260" s="17" t="s">
        <v>114</v>
      </c>
      <c r="E260" s="16"/>
      <c r="F260" s="17" t="s">
        <v>114</v>
      </c>
      <c r="G260" s="16"/>
      <c r="H260" s="17" t="s">
        <v>114</v>
      </c>
      <c r="I260" s="10">
        <f t="shared" si="4"/>
        <v>3</v>
      </c>
      <c r="J260" s="10" t="s">
        <v>124</v>
      </c>
    </row>
    <row r="261" spans="1:10" x14ac:dyDescent="0.35">
      <c r="A261" s="15" t="s">
        <v>179</v>
      </c>
      <c r="B261" s="15" t="s">
        <v>113</v>
      </c>
      <c r="C261" s="16"/>
      <c r="D261" s="17" t="s">
        <v>114</v>
      </c>
      <c r="E261" s="16"/>
      <c r="F261" s="17" t="s">
        <v>114</v>
      </c>
      <c r="G261" s="16"/>
      <c r="H261" s="17" t="s">
        <v>114</v>
      </c>
      <c r="I261" s="10">
        <f t="shared" si="4"/>
        <v>3</v>
      </c>
      <c r="J261" s="10" t="s">
        <v>115</v>
      </c>
    </row>
    <row r="262" spans="1:10" x14ac:dyDescent="0.35">
      <c r="A262" s="15" t="s">
        <v>179</v>
      </c>
      <c r="B262" s="15" t="s">
        <v>116</v>
      </c>
      <c r="C262" s="16"/>
      <c r="D262" s="17" t="s">
        <v>114</v>
      </c>
      <c r="E262" s="16"/>
      <c r="F262" s="17" t="s">
        <v>114</v>
      </c>
      <c r="G262" s="16"/>
      <c r="H262" s="17" t="s">
        <v>114</v>
      </c>
      <c r="I262" s="10">
        <f t="shared" si="4"/>
        <v>3</v>
      </c>
      <c r="J262" s="10" t="s">
        <v>115</v>
      </c>
    </row>
    <row r="263" spans="1:10" x14ac:dyDescent="0.35">
      <c r="A263" s="15" t="s">
        <v>179</v>
      </c>
      <c r="B263" s="15" t="s">
        <v>117</v>
      </c>
      <c r="C263" s="16"/>
      <c r="D263" s="17" t="s">
        <v>114</v>
      </c>
      <c r="E263" s="16"/>
      <c r="F263" s="17" t="s">
        <v>114</v>
      </c>
      <c r="G263" s="16"/>
      <c r="H263" s="17" t="s">
        <v>114</v>
      </c>
      <c r="I263" s="10">
        <f t="shared" si="4"/>
        <v>3</v>
      </c>
      <c r="J263" s="10" t="s">
        <v>115</v>
      </c>
    </row>
    <row r="264" spans="1:10" x14ac:dyDescent="0.35">
      <c r="A264" s="15" t="s">
        <v>179</v>
      </c>
      <c r="B264" s="15" t="s">
        <v>118</v>
      </c>
      <c r="C264" s="16"/>
      <c r="D264" s="17" t="s">
        <v>114</v>
      </c>
      <c r="E264" s="16"/>
      <c r="F264" s="17" t="s">
        <v>114</v>
      </c>
      <c r="G264" s="16"/>
      <c r="H264" s="17" t="s">
        <v>114</v>
      </c>
      <c r="I264" s="10">
        <f t="shared" si="4"/>
        <v>3</v>
      </c>
      <c r="J264" s="10" t="s">
        <v>115</v>
      </c>
    </row>
    <row r="265" spans="1:10" x14ac:dyDescent="0.35">
      <c r="A265" s="15" t="s">
        <v>179</v>
      </c>
      <c r="B265" s="15" t="s">
        <v>119</v>
      </c>
      <c r="C265" s="16"/>
      <c r="D265" s="17" t="s">
        <v>114</v>
      </c>
      <c r="E265" s="16"/>
      <c r="F265" s="17" t="s">
        <v>114</v>
      </c>
      <c r="G265" s="16"/>
      <c r="H265" s="17" t="s">
        <v>114</v>
      </c>
      <c r="I265" s="10">
        <f t="shared" si="4"/>
        <v>3</v>
      </c>
      <c r="J265" s="10" t="s">
        <v>115</v>
      </c>
    </row>
    <row r="266" spans="1:10" x14ac:dyDescent="0.35">
      <c r="A266" s="15" t="s">
        <v>179</v>
      </c>
      <c r="B266" s="15" t="s">
        <v>120</v>
      </c>
      <c r="C266" s="16"/>
      <c r="D266" s="17" t="s">
        <v>114</v>
      </c>
      <c r="E266" s="16"/>
      <c r="F266" s="17" t="s">
        <v>114</v>
      </c>
      <c r="G266" s="16"/>
      <c r="H266" s="17" t="s">
        <v>114</v>
      </c>
      <c r="I266" s="10">
        <f t="shared" si="4"/>
        <v>3</v>
      </c>
      <c r="J266" s="10" t="s">
        <v>115</v>
      </c>
    </row>
    <row r="267" spans="1:10" x14ac:dyDescent="0.35">
      <c r="A267" s="15" t="s">
        <v>179</v>
      </c>
      <c r="B267" s="15" t="s">
        <v>121</v>
      </c>
      <c r="C267" s="16"/>
      <c r="D267" s="17" t="s">
        <v>114</v>
      </c>
      <c r="E267" s="16"/>
      <c r="F267" s="17" t="s">
        <v>114</v>
      </c>
      <c r="G267" s="16"/>
      <c r="H267" s="17" t="s">
        <v>114</v>
      </c>
      <c r="I267" s="10">
        <f t="shared" si="4"/>
        <v>3</v>
      </c>
      <c r="J267" s="10" t="s">
        <v>115</v>
      </c>
    </row>
    <row r="268" spans="1:10" x14ac:dyDescent="0.35">
      <c r="A268" s="15" t="s">
        <v>180</v>
      </c>
      <c r="B268" s="15" t="s">
        <v>113</v>
      </c>
      <c r="C268" s="16"/>
      <c r="D268" s="17" t="s">
        <v>114</v>
      </c>
      <c r="E268" s="17" t="s">
        <v>114</v>
      </c>
      <c r="F268" s="17" t="s">
        <v>114</v>
      </c>
      <c r="G268" s="17" t="s">
        <v>114</v>
      </c>
      <c r="H268" s="17" t="s">
        <v>114</v>
      </c>
      <c r="I268" s="10">
        <f t="shared" si="4"/>
        <v>5</v>
      </c>
      <c r="J268" s="10" t="s">
        <v>124</v>
      </c>
    </row>
    <row r="269" spans="1:10" x14ac:dyDescent="0.35">
      <c r="A269" s="15" t="s">
        <v>180</v>
      </c>
      <c r="B269" s="15" t="s">
        <v>125</v>
      </c>
      <c r="C269" s="16"/>
      <c r="D269" s="17" t="s">
        <v>114</v>
      </c>
      <c r="E269" s="17" t="s">
        <v>114</v>
      </c>
      <c r="F269" s="17" t="s">
        <v>114</v>
      </c>
      <c r="G269" s="17" t="s">
        <v>114</v>
      </c>
      <c r="H269" s="17" t="s">
        <v>114</v>
      </c>
      <c r="I269" s="10">
        <f t="shared" si="4"/>
        <v>5</v>
      </c>
      <c r="J269" s="10" t="s">
        <v>124</v>
      </c>
    </row>
    <row r="270" spans="1:10" x14ac:dyDescent="0.35">
      <c r="A270" s="15" t="s">
        <v>180</v>
      </c>
      <c r="B270" s="15" t="s">
        <v>118</v>
      </c>
      <c r="C270" s="16"/>
      <c r="D270" s="17" t="s">
        <v>114</v>
      </c>
      <c r="E270" s="17" t="s">
        <v>114</v>
      </c>
      <c r="F270" s="17" t="s">
        <v>114</v>
      </c>
      <c r="G270" s="17" t="s">
        <v>114</v>
      </c>
      <c r="H270" s="17" t="s">
        <v>114</v>
      </c>
      <c r="I270" s="10">
        <f t="shared" si="4"/>
        <v>5</v>
      </c>
      <c r="J270" s="10" t="s">
        <v>124</v>
      </c>
    </row>
    <row r="271" spans="1:10" x14ac:dyDescent="0.35">
      <c r="A271" s="15" t="s">
        <v>180</v>
      </c>
      <c r="B271" s="15" t="s">
        <v>121</v>
      </c>
      <c r="C271" s="16"/>
      <c r="D271" s="17" t="s">
        <v>114</v>
      </c>
      <c r="E271" s="17" t="s">
        <v>114</v>
      </c>
      <c r="F271" s="17" t="s">
        <v>114</v>
      </c>
      <c r="G271" s="17" t="s">
        <v>114</v>
      </c>
      <c r="H271" s="17" t="s">
        <v>114</v>
      </c>
      <c r="I271" s="10">
        <f t="shared" si="4"/>
        <v>5</v>
      </c>
      <c r="J271" s="10" t="s">
        <v>124</v>
      </c>
    </row>
    <row r="272" spans="1:10" x14ac:dyDescent="0.35">
      <c r="A272" s="15" t="s">
        <v>181</v>
      </c>
      <c r="B272" s="15" t="s">
        <v>113</v>
      </c>
      <c r="C272" s="16"/>
      <c r="D272" s="17" t="s">
        <v>114</v>
      </c>
      <c r="E272" s="17" t="s">
        <v>114</v>
      </c>
      <c r="F272" s="17" t="s">
        <v>114</v>
      </c>
      <c r="G272" s="16"/>
      <c r="H272" s="17" t="s">
        <v>114</v>
      </c>
      <c r="I272" s="10">
        <f t="shared" si="4"/>
        <v>4</v>
      </c>
      <c r="J272" s="10" t="s">
        <v>124</v>
      </c>
    </row>
    <row r="273" spans="1:10" x14ac:dyDescent="0.35">
      <c r="A273" s="15" t="s">
        <v>181</v>
      </c>
      <c r="B273" s="15" t="s">
        <v>125</v>
      </c>
      <c r="C273" s="16"/>
      <c r="D273" s="17" t="s">
        <v>114</v>
      </c>
      <c r="E273" s="17" t="s">
        <v>114</v>
      </c>
      <c r="F273" s="17" t="s">
        <v>114</v>
      </c>
      <c r="G273" s="16"/>
      <c r="H273" s="17" t="s">
        <v>114</v>
      </c>
      <c r="I273" s="10">
        <f t="shared" si="4"/>
        <v>4</v>
      </c>
      <c r="J273" s="10" t="s">
        <v>124</v>
      </c>
    </row>
    <row r="274" spans="1:10" x14ac:dyDescent="0.35">
      <c r="A274" s="15" t="s">
        <v>181</v>
      </c>
      <c r="B274" s="15" t="s">
        <v>118</v>
      </c>
      <c r="C274" s="16"/>
      <c r="D274" s="17" t="s">
        <v>114</v>
      </c>
      <c r="E274" s="17" t="s">
        <v>114</v>
      </c>
      <c r="F274" s="17" t="s">
        <v>114</v>
      </c>
      <c r="G274" s="16"/>
      <c r="H274" s="17" t="s">
        <v>114</v>
      </c>
      <c r="I274" s="10">
        <f t="shared" si="4"/>
        <v>4</v>
      </c>
      <c r="J274" s="10" t="s">
        <v>124</v>
      </c>
    </row>
    <row r="275" spans="1:10" x14ac:dyDescent="0.35">
      <c r="A275" s="15" t="s">
        <v>181</v>
      </c>
      <c r="B275" s="15" t="s">
        <v>121</v>
      </c>
      <c r="C275" s="16"/>
      <c r="D275" s="17" t="s">
        <v>114</v>
      </c>
      <c r="E275" s="17" t="s">
        <v>114</v>
      </c>
      <c r="F275" s="17" t="s">
        <v>114</v>
      </c>
      <c r="G275" s="16"/>
      <c r="H275" s="17" t="s">
        <v>114</v>
      </c>
      <c r="I275" s="10">
        <f t="shared" si="4"/>
        <v>4</v>
      </c>
      <c r="J275" s="10" t="s">
        <v>124</v>
      </c>
    </row>
    <row r="276" spans="1:10" x14ac:dyDescent="0.35">
      <c r="A276" s="15" t="s">
        <v>182</v>
      </c>
      <c r="B276" s="15" t="s">
        <v>113</v>
      </c>
      <c r="C276" s="16"/>
      <c r="D276" s="17" t="s">
        <v>114</v>
      </c>
      <c r="E276" s="16"/>
      <c r="F276" s="17" t="s">
        <v>114</v>
      </c>
      <c r="G276" s="16"/>
      <c r="H276" s="17" t="s">
        <v>114</v>
      </c>
      <c r="I276" s="10">
        <f t="shared" si="4"/>
        <v>3</v>
      </c>
      <c r="J276" s="10" t="s">
        <v>124</v>
      </c>
    </row>
    <row r="277" spans="1:10" x14ac:dyDescent="0.35">
      <c r="A277" s="15" t="s">
        <v>182</v>
      </c>
      <c r="B277" s="15" t="s">
        <v>125</v>
      </c>
      <c r="C277" s="16"/>
      <c r="D277" s="17" t="s">
        <v>114</v>
      </c>
      <c r="E277" s="16"/>
      <c r="F277" s="17" t="s">
        <v>114</v>
      </c>
      <c r="G277" s="16"/>
      <c r="H277" s="17" t="s">
        <v>114</v>
      </c>
      <c r="I277" s="10">
        <f t="shared" si="4"/>
        <v>3</v>
      </c>
      <c r="J277" s="10" t="s">
        <v>124</v>
      </c>
    </row>
    <row r="278" spans="1:10" x14ac:dyDescent="0.35">
      <c r="A278" s="15" t="s">
        <v>182</v>
      </c>
      <c r="B278" s="15" t="s">
        <v>118</v>
      </c>
      <c r="C278" s="16"/>
      <c r="D278" s="17" t="s">
        <v>114</v>
      </c>
      <c r="E278" s="16"/>
      <c r="F278" s="17" t="s">
        <v>114</v>
      </c>
      <c r="G278" s="16"/>
      <c r="H278" s="17" t="s">
        <v>114</v>
      </c>
      <c r="I278" s="10">
        <f t="shared" si="4"/>
        <v>3</v>
      </c>
      <c r="J278" s="10" t="s">
        <v>124</v>
      </c>
    </row>
    <row r="279" spans="1:10" x14ac:dyDescent="0.35">
      <c r="A279" s="15" t="s">
        <v>182</v>
      </c>
      <c r="B279" s="15" t="s">
        <v>121</v>
      </c>
      <c r="C279" s="16"/>
      <c r="D279" s="17" t="s">
        <v>114</v>
      </c>
      <c r="E279" s="16"/>
      <c r="F279" s="17" t="s">
        <v>114</v>
      </c>
      <c r="G279" s="16"/>
      <c r="H279" s="17" t="s">
        <v>114</v>
      </c>
      <c r="I279" s="10">
        <f t="shared" si="4"/>
        <v>3</v>
      </c>
      <c r="J279" s="10" t="s">
        <v>124</v>
      </c>
    </row>
    <row r="280" spans="1:10" x14ac:dyDescent="0.35">
      <c r="A280" s="15" t="s">
        <v>183</v>
      </c>
      <c r="B280" s="15" t="s">
        <v>113</v>
      </c>
      <c r="C280" s="16"/>
      <c r="D280" s="17" t="s">
        <v>114</v>
      </c>
      <c r="E280" s="16"/>
      <c r="F280" s="17" t="s">
        <v>114</v>
      </c>
      <c r="G280" s="16"/>
      <c r="H280" s="17" t="s">
        <v>114</v>
      </c>
      <c r="I280" s="10">
        <f t="shared" si="4"/>
        <v>3</v>
      </c>
      <c r="J280" s="10" t="s">
        <v>115</v>
      </c>
    </row>
    <row r="281" spans="1:10" x14ac:dyDescent="0.35">
      <c r="A281" s="15" t="s">
        <v>183</v>
      </c>
      <c r="B281" s="15" t="s">
        <v>116</v>
      </c>
      <c r="C281" s="16"/>
      <c r="D281" s="17" t="s">
        <v>114</v>
      </c>
      <c r="E281" s="16"/>
      <c r="F281" s="17" t="s">
        <v>114</v>
      </c>
      <c r="G281" s="16"/>
      <c r="H281" s="17" t="s">
        <v>114</v>
      </c>
      <c r="I281" s="10">
        <f t="shared" si="4"/>
        <v>3</v>
      </c>
      <c r="J281" s="10" t="s">
        <v>115</v>
      </c>
    </row>
    <row r="282" spans="1:10" x14ac:dyDescent="0.35">
      <c r="A282" s="15" t="s">
        <v>183</v>
      </c>
      <c r="B282" s="15" t="s">
        <v>117</v>
      </c>
      <c r="C282" s="16"/>
      <c r="D282" s="17" t="s">
        <v>114</v>
      </c>
      <c r="E282" s="16"/>
      <c r="F282" s="17" t="s">
        <v>114</v>
      </c>
      <c r="G282" s="16"/>
      <c r="H282" s="17" t="s">
        <v>114</v>
      </c>
      <c r="I282" s="10">
        <f t="shared" si="4"/>
        <v>3</v>
      </c>
      <c r="J282" s="10" t="s">
        <v>115</v>
      </c>
    </row>
    <row r="283" spans="1:10" x14ac:dyDescent="0.35">
      <c r="A283" s="15" t="s">
        <v>183</v>
      </c>
      <c r="B283" s="15" t="s">
        <v>118</v>
      </c>
      <c r="C283" s="16"/>
      <c r="D283" s="17" t="s">
        <v>114</v>
      </c>
      <c r="E283" s="16"/>
      <c r="F283" s="17" t="s">
        <v>114</v>
      </c>
      <c r="G283" s="16"/>
      <c r="H283" s="17" t="s">
        <v>114</v>
      </c>
      <c r="I283" s="10">
        <f t="shared" si="4"/>
        <v>3</v>
      </c>
      <c r="J283" s="10" t="s">
        <v>115</v>
      </c>
    </row>
    <row r="284" spans="1:10" x14ac:dyDescent="0.35">
      <c r="A284" s="15" t="s">
        <v>183</v>
      </c>
      <c r="B284" s="15" t="s">
        <v>119</v>
      </c>
      <c r="C284" s="16"/>
      <c r="D284" s="17" t="s">
        <v>114</v>
      </c>
      <c r="E284" s="16"/>
      <c r="F284" s="17" t="s">
        <v>114</v>
      </c>
      <c r="G284" s="16"/>
      <c r="H284" s="17" t="s">
        <v>114</v>
      </c>
      <c r="I284" s="10">
        <f t="shared" si="4"/>
        <v>3</v>
      </c>
      <c r="J284" s="10" t="s">
        <v>115</v>
      </c>
    </row>
    <row r="285" spans="1:10" x14ac:dyDescent="0.35">
      <c r="A285" s="15" t="s">
        <v>183</v>
      </c>
      <c r="B285" s="15" t="s">
        <v>120</v>
      </c>
      <c r="C285" s="16"/>
      <c r="D285" s="17" t="s">
        <v>114</v>
      </c>
      <c r="E285" s="16"/>
      <c r="F285" s="17" t="s">
        <v>114</v>
      </c>
      <c r="G285" s="16"/>
      <c r="H285" s="17" t="s">
        <v>114</v>
      </c>
      <c r="I285" s="10">
        <f t="shared" si="4"/>
        <v>3</v>
      </c>
      <c r="J285" s="10" t="s">
        <v>115</v>
      </c>
    </row>
    <row r="286" spans="1:10" x14ac:dyDescent="0.35">
      <c r="A286" s="15" t="s">
        <v>183</v>
      </c>
      <c r="B286" s="15" t="s">
        <v>121</v>
      </c>
      <c r="C286" s="16"/>
      <c r="D286" s="17" t="s">
        <v>114</v>
      </c>
      <c r="E286" s="16"/>
      <c r="F286" s="17" t="s">
        <v>114</v>
      </c>
      <c r="G286" s="16"/>
      <c r="H286" s="17" t="s">
        <v>114</v>
      </c>
      <c r="I286" s="10">
        <f t="shared" si="4"/>
        <v>3</v>
      </c>
      <c r="J286" s="10" t="s">
        <v>115</v>
      </c>
    </row>
    <row r="287" spans="1:10" x14ac:dyDescent="0.35">
      <c r="A287" s="15" t="s">
        <v>184</v>
      </c>
      <c r="B287" s="15" t="s">
        <v>113</v>
      </c>
      <c r="C287" s="16"/>
      <c r="D287" s="17" t="s">
        <v>114</v>
      </c>
      <c r="E287" s="16"/>
      <c r="F287" s="17" t="s">
        <v>114</v>
      </c>
      <c r="G287" s="16"/>
      <c r="H287" s="17" t="s">
        <v>114</v>
      </c>
      <c r="I287" s="10">
        <f t="shared" si="4"/>
        <v>3</v>
      </c>
      <c r="J287" s="10" t="s">
        <v>115</v>
      </c>
    </row>
    <row r="288" spans="1:10" x14ac:dyDescent="0.35">
      <c r="A288" s="15" t="s">
        <v>184</v>
      </c>
      <c r="B288" s="15" t="s">
        <v>116</v>
      </c>
      <c r="C288" s="16"/>
      <c r="D288" s="17" t="s">
        <v>114</v>
      </c>
      <c r="E288" s="16"/>
      <c r="F288" s="17" t="s">
        <v>114</v>
      </c>
      <c r="G288" s="16"/>
      <c r="H288" s="17" t="s">
        <v>114</v>
      </c>
      <c r="I288" s="10">
        <f t="shared" si="4"/>
        <v>3</v>
      </c>
      <c r="J288" s="10" t="s">
        <v>115</v>
      </c>
    </row>
    <row r="289" spans="1:10" x14ac:dyDescent="0.35">
      <c r="A289" s="15" t="s">
        <v>184</v>
      </c>
      <c r="B289" s="15" t="s">
        <v>117</v>
      </c>
      <c r="C289" s="16"/>
      <c r="D289" s="17" t="s">
        <v>114</v>
      </c>
      <c r="E289" s="16"/>
      <c r="F289" s="17" t="s">
        <v>114</v>
      </c>
      <c r="G289" s="16"/>
      <c r="H289" s="17" t="s">
        <v>114</v>
      </c>
      <c r="I289" s="10">
        <f t="shared" si="4"/>
        <v>3</v>
      </c>
      <c r="J289" s="10" t="s">
        <v>115</v>
      </c>
    </row>
    <row r="290" spans="1:10" x14ac:dyDescent="0.35">
      <c r="A290" s="15" t="s">
        <v>184</v>
      </c>
      <c r="B290" s="15" t="s">
        <v>118</v>
      </c>
      <c r="C290" s="16"/>
      <c r="D290" s="17" t="s">
        <v>114</v>
      </c>
      <c r="E290" s="16"/>
      <c r="F290" s="17" t="s">
        <v>114</v>
      </c>
      <c r="G290" s="16"/>
      <c r="H290" s="17" t="s">
        <v>114</v>
      </c>
      <c r="I290" s="10">
        <f t="shared" si="4"/>
        <v>3</v>
      </c>
      <c r="J290" s="10" t="s">
        <v>115</v>
      </c>
    </row>
    <row r="291" spans="1:10" x14ac:dyDescent="0.35">
      <c r="A291" s="15" t="s">
        <v>184</v>
      </c>
      <c r="B291" s="15" t="s">
        <v>119</v>
      </c>
      <c r="C291" s="16"/>
      <c r="D291" s="17" t="s">
        <v>114</v>
      </c>
      <c r="E291" s="16"/>
      <c r="F291" s="17" t="s">
        <v>114</v>
      </c>
      <c r="G291" s="16"/>
      <c r="H291" s="17" t="s">
        <v>114</v>
      </c>
      <c r="I291" s="10">
        <f t="shared" si="4"/>
        <v>3</v>
      </c>
      <c r="J291" s="10" t="s">
        <v>115</v>
      </c>
    </row>
    <row r="292" spans="1:10" x14ac:dyDescent="0.35">
      <c r="A292" s="15" t="s">
        <v>184</v>
      </c>
      <c r="B292" s="15" t="s">
        <v>120</v>
      </c>
      <c r="C292" s="16"/>
      <c r="D292" s="17" t="s">
        <v>114</v>
      </c>
      <c r="E292" s="16"/>
      <c r="F292" s="17" t="s">
        <v>114</v>
      </c>
      <c r="G292" s="16"/>
      <c r="H292" s="17" t="s">
        <v>114</v>
      </c>
      <c r="I292" s="10">
        <f t="shared" si="4"/>
        <v>3</v>
      </c>
      <c r="J292" s="10" t="s">
        <v>115</v>
      </c>
    </row>
    <row r="293" spans="1:10" x14ac:dyDescent="0.35">
      <c r="A293" s="15" t="s">
        <v>184</v>
      </c>
      <c r="B293" s="15" t="s">
        <v>121</v>
      </c>
      <c r="C293" s="16"/>
      <c r="D293" s="17" t="s">
        <v>114</v>
      </c>
      <c r="E293" s="16"/>
      <c r="F293" s="17" t="s">
        <v>114</v>
      </c>
      <c r="G293" s="16"/>
      <c r="H293" s="17" t="s">
        <v>114</v>
      </c>
      <c r="I293" s="10">
        <f t="shared" si="4"/>
        <v>3</v>
      </c>
      <c r="J293" s="10" t="s">
        <v>115</v>
      </c>
    </row>
    <row r="294" spans="1:10" x14ac:dyDescent="0.35">
      <c r="A294" s="15" t="s">
        <v>185</v>
      </c>
      <c r="B294" s="15" t="s">
        <v>113</v>
      </c>
      <c r="C294" s="16"/>
      <c r="D294" s="16"/>
      <c r="E294" s="17" t="s">
        <v>114</v>
      </c>
      <c r="F294" s="16"/>
      <c r="G294" s="16"/>
      <c r="H294" s="17" t="s">
        <v>114</v>
      </c>
      <c r="I294" s="10">
        <f t="shared" si="4"/>
        <v>2</v>
      </c>
      <c r="J294" s="10" t="s">
        <v>115</v>
      </c>
    </row>
    <row r="295" spans="1:10" x14ac:dyDescent="0.35">
      <c r="A295" s="15" t="s">
        <v>185</v>
      </c>
      <c r="B295" s="15" t="s">
        <v>116</v>
      </c>
      <c r="C295" s="16"/>
      <c r="D295" s="16"/>
      <c r="E295" s="17" t="s">
        <v>114</v>
      </c>
      <c r="F295" s="16"/>
      <c r="G295" s="16"/>
      <c r="H295" s="17" t="s">
        <v>114</v>
      </c>
      <c r="I295" s="10">
        <f t="shared" si="4"/>
        <v>2</v>
      </c>
      <c r="J295" s="10" t="s">
        <v>115</v>
      </c>
    </row>
    <row r="296" spans="1:10" x14ac:dyDescent="0.35">
      <c r="A296" s="15" t="s">
        <v>185</v>
      </c>
      <c r="B296" s="15" t="s">
        <v>117</v>
      </c>
      <c r="C296" s="16"/>
      <c r="D296" s="16"/>
      <c r="E296" s="17" t="s">
        <v>114</v>
      </c>
      <c r="F296" s="16"/>
      <c r="G296" s="16"/>
      <c r="H296" s="17" t="s">
        <v>114</v>
      </c>
      <c r="I296" s="10">
        <f t="shared" si="4"/>
        <v>2</v>
      </c>
      <c r="J296" s="10" t="s">
        <v>115</v>
      </c>
    </row>
    <row r="297" spans="1:10" x14ac:dyDescent="0.35">
      <c r="A297" s="15" t="s">
        <v>185</v>
      </c>
      <c r="B297" s="15" t="s">
        <v>118</v>
      </c>
      <c r="C297" s="16"/>
      <c r="D297" s="16"/>
      <c r="E297" s="17" t="s">
        <v>114</v>
      </c>
      <c r="F297" s="16"/>
      <c r="G297" s="16"/>
      <c r="H297" s="17" t="s">
        <v>114</v>
      </c>
      <c r="I297" s="10">
        <f t="shared" si="4"/>
        <v>2</v>
      </c>
      <c r="J297" s="10" t="s">
        <v>115</v>
      </c>
    </row>
    <row r="298" spans="1:10" x14ac:dyDescent="0.35">
      <c r="A298" s="15" t="s">
        <v>185</v>
      </c>
      <c r="B298" s="15" t="s">
        <v>119</v>
      </c>
      <c r="C298" s="16"/>
      <c r="D298" s="16"/>
      <c r="E298" s="17" t="s">
        <v>114</v>
      </c>
      <c r="F298" s="16"/>
      <c r="G298" s="16"/>
      <c r="H298" s="17" t="s">
        <v>114</v>
      </c>
      <c r="I298" s="10">
        <f t="shared" si="4"/>
        <v>2</v>
      </c>
      <c r="J298" s="10" t="s">
        <v>115</v>
      </c>
    </row>
    <row r="299" spans="1:10" x14ac:dyDescent="0.35">
      <c r="A299" s="15" t="s">
        <v>185</v>
      </c>
      <c r="B299" s="15" t="s">
        <v>120</v>
      </c>
      <c r="C299" s="16"/>
      <c r="D299" s="16"/>
      <c r="E299" s="17" t="s">
        <v>114</v>
      </c>
      <c r="F299" s="16"/>
      <c r="G299" s="16"/>
      <c r="H299" s="17" t="s">
        <v>114</v>
      </c>
      <c r="I299" s="10">
        <f t="shared" si="4"/>
        <v>2</v>
      </c>
      <c r="J299" s="10" t="s">
        <v>115</v>
      </c>
    </row>
    <row r="300" spans="1:10" x14ac:dyDescent="0.35">
      <c r="A300" s="15" t="s">
        <v>185</v>
      </c>
      <c r="B300" s="15" t="s">
        <v>121</v>
      </c>
      <c r="C300" s="16"/>
      <c r="D300" s="16"/>
      <c r="E300" s="17" t="s">
        <v>114</v>
      </c>
      <c r="F300" s="16"/>
      <c r="G300" s="16"/>
      <c r="H300" s="17" t="s">
        <v>114</v>
      </c>
      <c r="I300" s="10">
        <f t="shared" si="4"/>
        <v>2</v>
      </c>
      <c r="J300" s="10" t="s">
        <v>115</v>
      </c>
    </row>
    <row r="301" spans="1:10" x14ac:dyDescent="0.35">
      <c r="A301" s="15" t="s">
        <v>186</v>
      </c>
      <c r="B301" s="15" t="s">
        <v>113</v>
      </c>
      <c r="C301" s="16"/>
      <c r="D301" s="16"/>
      <c r="E301" s="17" t="s">
        <v>114</v>
      </c>
      <c r="F301" s="16"/>
      <c r="G301" s="16"/>
      <c r="H301" s="17" t="s">
        <v>114</v>
      </c>
      <c r="I301" s="10">
        <f t="shared" si="4"/>
        <v>2</v>
      </c>
      <c r="J301" s="10" t="s">
        <v>115</v>
      </c>
    </row>
    <row r="302" spans="1:10" x14ac:dyDescent="0.35">
      <c r="A302" s="15" t="s">
        <v>186</v>
      </c>
      <c r="B302" s="15" t="s">
        <v>116</v>
      </c>
      <c r="C302" s="16"/>
      <c r="D302" s="16"/>
      <c r="E302" s="17" t="s">
        <v>114</v>
      </c>
      <c r="F302" s="16"/>
      <c r="G302" s="16"/>
      <c r="H302" s="17" t="s">
        <v>114</v>
      </c>
      <c r="I302" s="10">
        <f t="shared" si="4"/>
        <v>2</v>
      </c>
      <c r="J302" s="10" t="s">
        <v>115</v>
      </c>
    </row>
    <row r="303" spans="1:10" x14ac:dyDescent="0.35">
      <c r="A303" s="15" t="s">
        <v>186</v>
      </c>
      <c r="B303" s="15" t="s">
        <v>117</v>
      </c>
      <c r="C303" s="16"/>
      <c r="D303" s="16"/>
      <c r="E303" s="17" t="s">
        <v>114</v>
      </c>
      <c r="F303" s="16"/>
      <c r="G303" s="16"/>
      <c r="H303" s="17" t="s">
        <v>114</v>
      </c>
      <c r="I303" s="10">
        <f t="shared" si="4"/>
        <v>2</v>
      </c>
      <c r="J303" s="10" t="s">
        <v>115</v>
      </c>
    </row>
    <row r="304" spans="1:10" x14ac:dyDescent="0.35">
      <c r="A304" s="15" t="s">
        <v>186</v>
      </c>
      <c r="B304" s="15" t="s">
        <v>118</v>
      </c>
      <c r="C304" s="16"/>
      <c r="D304" s="16"/>
      <c r="E304" s="17" t="s">
        <v>114</v>
      </c>
      <c r="F304" s="16"/>
      <c r="G304" s="16"/>
      <c r="H304" s="17" t="s">
        <v>114</v>
      </c>
      <c r="I304" s="10">
        <f t="shared" si="4"/>
        <v>2</v>
      </c>
      <c r="J304" s="10" t="s">
        <v>115</v>
      </c>
    </row>
    <row r="305" spans="1:10" x14ac:dyDescent="0.35">
      <c r="A305" s="15" t="s">
        <v>186</v>
      </c>
      <c r="B305" s="15" t="s">
        <v>119</v>
      </c>
      <c r="C305" s="16"/>
      <c r="D305" s="16"/>
      <c r="E305" s="17" t="s">
        <v>114</v>
      </c>
      <c r="F305" s="16"/>
      <c r="G305" s="16"/>
      <c r="H305" s="17" t="s">
        <v>114</v>
      </c>
      <c r="I305" s="10">
        <f t="shared" si="4"/>
        <v>2</v>
      </c>
      <c r="J305" s="10" t="s">
        <v>115</v>
      </c>
    </row>
    <row r="306" spans="1:10" x14ac:dyDescent="0.35">
      <c r="A306" s="15" t="s">
        <v>186</v>
      </c>
      <c r="B306" s="15" t="s">
        <v>120</v>
      </c>
      <c r="C306" s="16"/>
      <c r="D306" s="16"/>
      <c r="E306" s="17" t="s">
        <v>114</v>
      </c>
      <c r="F306" s="16"/>
      <c r="G306" s="16"/>
      <c r="H306" s="17" t="s">
        <v>114</v>
      </c>
      <c r="I306" s="10">
        <f t="shared" si="4"/>
        <v>2</v>
      </c>
      <c r="J306" s="10" t="s">
        <v>115</v>
      </c>
    </row>
    <row r="307" spans="1:10" x14ac:dyDescent="0.35">
      <c r="A307" s="15" t="s">
        <v>186</v>
      </c>
      <c r="B307" s="15" t="s">
        <v>121</v>
      </c>
      <c r="C307" s="16"/>
      <c r="D307" s="16"/>
      <c r="E307" s="17" t="s">
        <v>114</v>
      </c>
      <c r="F307" s="16"/>
      <c r="G307" s="16"/>
      <c r="H307" s="17" t="s">
        <v>114</v>
      </c>
      <c r="I307" s="10">
        <f t="shared" si="4"/>
        <v>2</v>
      </c>
      <c r="J307" s="10" t="s">
        <v>115</v>
      </c>
    </row>
    <row r="308" spans="1:10" x14ac:dyDescent="0.35">
      <c r="A308" s="15" t="s">
        <v>187</v>
      </c>
      <c r="B308" s="15" t="s">
        <v>113</v>
      </c>
      <c r="C308" s="16"/>
      <c r="D308" s="17" t="s">
        <v>114</v>
      </c>
      <c r="E308" s="17" t="s">
        <v>114</v>
      </c>
      <c r="F308" s="16"/>
      <c r="G308" s="17" t="s">
        <v>114</v>
      </c>
      <c r="H308" s="17" t="s">
        <v>114</v>
      </c>
      <c r="I308" s="10">
        <f t="shared" si="4"/>
        <v>4</v>
      </c>
      <c r="J308" s="10" t="s">
        <v>124</v>
      </c>
    </row>
    <row r="309" spans="1:10" x14ac:dyDescent="0.35">
      <c r="A309" s="15" t="s">
        <v>187</v>
      </c>
      <c r="B309" s="15" t="s">
        <v>125</v>
      </c>
      <c r="C309" s="16"/>
      <c r="D309" s="17" t="s">
        <v>114</v>
      </c>
      <c r="E309" s="17" t="s">
        <v>114</v>
      </c>
      <c r="F309" s="16"/>
      <c r="G309" s="17" t="s">
        <v>114</v>
      </c>
      <c r="H309" s="17" t="s">
        <v>114</v>
      </c>
      <c r="I309" s="10">
        <f t="shared" si="4"/>
        <v>4</v>
      </c>
      <c r="J309" s="10" t="s">
        <v>124</v>
      </c>
    </row>
    <row r="310" spans="1:10" x14ac:dyDescent="0.35">
      <c r="A310" s="15" t="s">
        <v>187</v>
      </c>
      <c r="B310" s="15" t="s">
        <v>118</v>
      </c>
      <c r="C310" s="16"/>
      <c r="D310" s="17" t="s">
        <v>114</v>
      </c>
      <c r="E310" s="17" t="s">
        <v>114</v>
      </c>
      <c r="F310" s="16"/>
      <c r="G310" s="17" t="s">
        <v>114</v>
      </c>
      <c r="H310" s="17" t="s">
        <v>114</v>
      </c>
      <c r="I310" s="10">
        <f t="shared" si="4"/>
        <v>4</v>
      </c>
      <c r="J310" s="10" t="s">
        <v>124</v>
      </c>
    </row>
    <row r="311" spans="1:10" x14ac:dyDescent="0.35">
      <c r="A311" s="15" t="s">
        <v>187</v>
      </c>
      <c r="B311" s="15" t="s">
        <v>121</v>
      </c>
      <c r="C311" s="16"/>
      <c r="D311" s="17" t="s">
        <v>114</v>
      </c>
      <c r="E311" s="17" t="s">
        <v>114</v>
      </c>
      <c r="F311" s="16"/>
      <c r="G311" s="17" t="s">
        <v>114</v>
      </c>
      <c r="H311" s="17" t="s">
        <v>114</v>
      </c>
      <c r="I311" s="10">
        <f t="shared" si="4"/>
        <v>4</v>
      </c>
      <c r="J311" s="10" t="s">
        <v>124</v>
      </c>
    </row>
    <row r="312" spans="1:10" x14ac:dyDescent="0.35">
      <c r="A312" s="15" t="s">
        <v>188</v>
      </c>
      <c r="B312" s="15" t="s">
        <v>113</v>
      </c>
      <c r="C312" s="16"/>
      <c r="D312" s="17" t="s">
        <v>114</v>
      </c>
      <c r="E312" s="17" t="s">
        <v>114</v>
      </c>
      <c r="F312" s="17" t="s">
        <v>114</v>
      </c>
      <c r="G312" s="16"/>
      <c r="H312" s="17" t="s">
        <v>114</v>
      </c>
      <c r="I312" s="10">
        <f t="shared" si="4"/>
        <v>4</v>
      </c>
      <c r="J312" s="10" t="s">
        <v>124</v>
      </c>
    </row>
    <row r="313" spans="1:10" x14ac:dyDescent="0.35">
      <c r="A313" s="15" t="s">
        <v>188</v>
      </c>
      <c r="B313" s="15" t="s">
        <v>125</v>
      </c>
      <c r="C313" s="16"/>
      <c r="D313" s="17" t="s">
        <v>114</v>
      </c>
      <c r="E313" s="17" t="s">
        <v>114</v>
      </c>
      <c r="F313" s="17" t="s">
        <v>114</v>
      </c>
      <c r="G313" s="16"/>
      <c r="H313" s="17" t="s">
        <v>114</v>
      </c>
      <c r="I313" s="10">
        <f t="shared" si="4"/>
        <v>4</v>
      </c>
      <c r="J313" s="10" t="s">
        <v>124</v>
      </c>
    </row>
    <row r="314" spans="1:10" x14ac:dyDescent="0.35">
      <c r="A314" s="15" t="s">
        <v>188</v>
      </c>
      <c r="B314" s="15" t="s">
        <v>118</v>
      </c>
      <c r="C314" s="16"/>
      <c r="D314" s="17" t="s">
        <v>114</v>
      </c>
      <c r="E314" s="17" t="s">
        <v>114</v>
      </c>
      <c r="F314" s="17" t="s">
        <v>114</v>
      </c>
      <c r="G314" s="16"/>
      <c r="H314" s="17" t="s">
        <v>114</v>
      </c>
      <c r="I314" s="10">
        <f t="shared" si="4"/>
        <v>4</v>
      </c>
      <c r="J314" s="10" t="s">
        <v>124</v>
      </c>
    </row>
    <row r="315" spans="1:10" x14ac:dyDescent="0.35">
      <c r="A315" s="15" t="s">
        <v>188</v>
      </c>
      <c r="B315" s="15" t="s">
        <v>121</v>
      </c>
      <c r="C315" s="16"/>
      <c r="D315" s="17" t="s">
        <v>114</v>
      </c>
      <c r="E315" s="17" t="s">
        <v>114</v>
      </c>
      <c r="F315" s="17" t="s">
        <v>114</v>
      </c>
      <c r="G315" s="16"/>
      <c r="H315" s="17" t="s">
        <v>114</v>
      </c>
      <c r="I315" s="10">
        <f t="shared" si="4"/>
        <v>4</v>
      </c>
      <c r="J315" s="10" t="s">
        <v>124</v>
      </c>
    </row>
    <row r="316" spans="1:10" x14ac:dyDescent="0.35">
      <c r="A316" s="15" t="s">
        <v>189</v>
      </c>
      <c r="B316" s="15" t="s">
        <v>113</v>
      </c>
      <c r="C316" s="16"/>
      <c r="D316" s="17" t="s">
        <v>114</v>
      </c>
      <c r="E316" s="16"/>
      <c r="F316" s="17" t="s">
        <v>114</v>
      </c>
      <c r="G316" s="16"/>
      <c r="H316" s="17" t="s">
        <v>114</v>
      </c>
      <c r="I316" s="10">
        <f t="shared" si="4"/>
        <v>3</v>
      </c>
      <c r="J316" s="10" t="s">
        <v>124</v>
      </c>
    </row>
    <row r="317" spans="1:10" x14ac:dyDescent="0.35">
      <c r="A317" s="15" t="s">
        <v>189</v>
      </c>
      <c r="B317" s="15" t="s">
        <v>125</v>
      </c>
      <c r="C317" s="16"/>
      <c r="D317" s="17" t="s">
        <v>114</v>
      </c>
      <c r="E317" s="16"/>
      <c r="F317" s="17" t="s">
        <v>114</v>
      </c>
      <c r="G317" s="16"/>
      <c r="H317" s="17" t="s">
        <v>114</v>
      </c>
      <c r="I317" s="10">
        <f t="shared" si="4"/>
        <v>3</v>
      </c>
      <c r="J317" s="10" t="s">
        <v>124</v>
      </c>
    </row>
    <row r="318" spans="1:10" x14ac:dyDescent="0.35">
      <c r="A318" s="15" t="s">
        <v>189</v>
      </c>
      <c r="B318" s="15" t="s">
        <v>118</v>
      </c>
      <c r="C318" s="16"/>
      <c r="D318" s="17" t="s">
        <v>114</v>
      </c>
      <c r="E318" s="16"/>
      <c r="F318" s="17" t="s">
        <v>114</v>
      </c>
      <c r="G318" s="16"/>
      <c r="H318" s="17" t="s">
        <v>114</v>
      </c>
      <c r="I318" s="10">
        <f t="shared" si="4"/>
        <v>3</v>
      </c>
      <c r="J318" s="10" t="s">
        <v>124</v>
      </c>
    </row>
    <row r="319" spans="1:10" x14ac:dyDescent="0.35">
      <c r="A319" s="15" t="s">
        <v>189</v>
      </c>
      <c r="B319" s="15" t="s">
        <v>121</v>
      </c>
      <c r="C319" s="16"/>
      <c r="D319" s="17" t="s">
        <v>114</v>
      </c>
      <c r="E319" s="16"/>
      <c r="F319" s="17" t="s">
        <v>114</v>
      </c>
      <c r="G319" s="16"/>
      <c r="H319" s="17" t="s">
        <v>114</v>
      </c>
      <c r="I319" s="10">
        <f t="shared" si="4"/>
        <v>3</v>
      </c>
      <c r="J319" s="10" t="s">
        <v>124</v>
      </c>
    </row>
    <row r="320" spans="1:10" x14ac:dyDescent="0.35">
      <c r="A320" s="15" t="s">
        <v>190</v>
      </c>
      <c r="B320" s="15" t="s">
        <v>113</v>
      </c>
      <c r="C320" s="16"/>
      <c r="D320" s="17" t="s">
        <v>114</v>
      </c>
      <c r="E320" s="16"/>
      <c r="F320" s="17" t="s">
        <v>114</v>
      </c>
      <c r="G320" s="16"/>
      <c r="H320" s="17" t="s">
        <v>114</v>
      </c>
      <c r="I320" s="10">
        <f t="shared" si="4"/>
        <v>3</v>
      </c>
      <c r="J320" s="10" t="s">
        <v>124</v>
      </c>
    </row>
    <row r="321" spans="1:10" x14ac:dyDescent="0.35">
      <c r="A321" s="15" t="s">
        <v>190</v>
      </c>
      <c r="B321" s="15" t="s">
        <v>125</v>
      </c>
      <c r="C321" s="16"/>
      <c r="D321" s="17" t="s">
        <v>114</v>
      </c>
      <c r="E321" s="16"/>
      <c r="F321" s="17" t="s">
        <v>114</v>
      </c>
      <c r="G321" s="16"/>
      <c r="H321" s="17" t="s">
        <v>114</v>
      </c>
      <c r="I321" s="10">
        <f t="shared" si="4"/>
        <v>3</v>
      </c>
      <c r="J321" s="10" t="s">
        <v>124</v>
      </c>
    </row>
    <row r="322" spans="1:10" x14ac:dyDescent="0.35">
      <c r="A322" s="15" t="s">
        <v>190</v>
      </c>
      <c r="B322" s="15" t="s">
        <v>118</v>
      </c>
      <c r="C322" s="16"/>
      <c r="D322" s="17" t="s">
        <v>114</v>
      </c>
      <c r="E322" s="16"/>
      <c r="F322" s="17" t="s">
        <v>114</v>
      </c>
      <c r="G322" s="16"/>
      <c r="H322" s="17" t="s">
        <v>114</v>
      </c>
      <c r="I322" s="10">
        <f t="shared" ref="I322:I385" si="5">COUNTIF(C322:H322,"✓")</f>
        <v>3</v>
      </c>
      <c r="J322" s="10" t="s">
        <v>124</v>
      </c>
    </row>
    <row r="323" spans="1:10" x14ac:dyDescent="0.35">
      <c r="A323" s="15" t="s">
        <v>190</v>
      </c>
      <c r="B323" s="15" t="s">
        <v>121</v>
      </c>
      <c r="C323" s="16"/>
      <c r="D323" s="17" t="s">
        <v>114</v>
      </c>
      <c r="E323" s="16"/>
      <c r="F323" s="17" t="s">
        <v>114</v>
      </c>
      <c r="G323" s="16"/>
      <c r="H323" s="17" t="s">
        <v>114</v>
      </c>
      <c r="I323" s="10">
        <f t="shared" si="5"/>
        <v>3</v>
      </c>
      <c r="J323" s="10" t="s">
        <v>124</v>
      </c>
    </row>
    <row r="324" spans="1:10" x14ac:dyDescent="0.35">
      <c r="A324" s="15" t="s">
        <v>191</v>
      </c>
      <c r="B324" s="15" t="s">
        <v>113</v>
      </c>
      <c r="C324" s="16"/>
      <c r="D324" s="17" t="s">
        <v>114</v>
      </c>
      <c r="E324" s="17" t="s">
        <v>114</v>
      </c>
      <c r="F324" s="17" t="s">
        <v>114</v>
      </c>
      <c r="G324" s="16"/>
      <c r="H324" s="17" t="s">
        <v>114</v>
      </c>
      <c r="I324" s="10">
        <f t="shared" si="5"/>
        <v>4</v>
      </c>
      <c r="J324" s="10" t="s">
        <v>115</v>
      </c>
    </row>
    <row r="325" spans="1:10" x14ac:dyDescent="0.35">
      <c r="A325" s="15" t="s">
        <v>191</v>
      </c>
      <c r="B325" s="15" t="s">
        <v>116</v>
      </c>
      <c r="C325" s="16"/>
      <c r="D325" s="17" t="s">
        <v>114</v>
      </c>
      <c r="E325" s="17" t="s">
        <v>114</v>
      </c>
      <c r="F325" s="17" t="s">
        <v>114</v>
      </c>
      <c r="G325" s="16"/>
      <c r="H325" s="17" t="s">
        <v>114</v>
      </c>
      <c r="I325" s="10">
        <f t="shared" si="5"/>
        <v>4</v>
      </c>
      <c r="J325" s="10" t="s">
        <v>115</v>
      </c>
    </row>
    <row r="326" spans="1:10" x14ac:dyDescent="0.35">
      <c r="A326" s="15" t="s">
        <v>191</v>
      </c>
      <c r="B326" s="15" t="s">
        <v>117</v>
      </c>
      <c r="C326" s="16"/>
      <c r="D326" s="17" t="s">
        <v>114</v>
      </c>
      <c r="E326" s="17" t="s">
        <v>114</v>
      </c>
      <c r="F326" s="17" t="s">
        <v>114</v>
      </c>
      <c r="G326" s="16"/>
      <c r="H326" s="17" t="s">
        <v>114</v>
      </c>
      <c r="I326" s="10">
        <f t="shared" si="5"/>
        <v>4</v>
      </c>
      <c r="J326" s="10" t="s">
        <v>115</v>
      </c>
    </row>
    <row r="327" spans="1:10" x14ac:dyDescent="0.35">
      <c r="A327" s="15" t="s">
        <v>191</v>
      </c>
      <c r="B327" s="15" t="s">
        <v>118</v>
      </c>
      <c r="C327" s="16"/>
      <c r="D327" s="17" t="s">
        <v>114</v>
      </c>
      <c r="E327" s="17" t="s">
        <v>114</v>
      </c>
      <c r="F327" s="17" t="s">
        <v>114</v>
      </c>
      <c r="G327" s="16"/>
      <c r="H327" s="17" t="s">
        <v>114</v>
      </c>
      <c r="I327" s="10">
        <f t="shared" si="5"/>
        <v>4</v>
      </c>
      <c r="J327" s="10" t="s">
        <v>115</v>
      </c>
    </row>
    <row r="328" spans="1:10" x14ac:dyDescent="0.35">
      <c r="A328" s="15" t="s">
        <v>191</v>
      </c>
      <c r="B328" s="15" t="s">
        <v>119</v>
      </c>
      <c r="C328" s="16"/>
      <c r="D328" s="17" t="s">
        <v>114</v>
      </c>
      <c r="E328" s="17" t="s">
        <v>114</v>
      </c>
      <c r="F328" s="17" t="s">
        <v>114</v>
      </c>
      <c r="G328" s="16"/>
      <c r="H328" s="17" t="s">
        <v>114</v>
      </c>
      <c r="I328" s="10">
        <f t="shared" si="5"/>
        <v>4</v>
      </c>
      <c r="J328" s="10" t="s">
        <v>115</v>
      </c>
    </row>
    <row r="329" spans="1:10" x14ac:dyDescent="0.35">
      <c r="A329" s="15" t="s">
        <v>191</v>
      </c>
      <c r="B329" s="15" t="s">
        <v>120</v>
      </c>
      <c r="C329" s="16"/>
      <c r="D329" s="17" t="s">
        <v>114</v>
      </c>
      <c r="E329" s="17" t="s">
        <v>114</v>
      </c>
      <c r="F329" s="17" t="s">
        <v>114</v>
      </c>
      <c r="G329" s="16"/>
      <c r="H329" s="17" t="s">
        <v>114</v>
      </c>
      <c r="I329" s="10">
        <f t="shared" si="5"/>
        <v>4</v>
      </c>
      <c r="J329" s="10" t="s">
        <v>115</v>
      </c>
    </row>
    <row r="330" spans="1:10" x14ac:dyDescent="0.35">
      <c r="A330" s="15" t="s">
        <v>191</v>
      </c>
      <c r="B330" s="15" t="s">
        <v>121</v>
      </c>
      <c r="C330" s="16"/>
      <c r="D330" s="17" t="s">
        <v>114</v>
      </c>
      <c r="E330" s="17" t="s">
        <v>114</v>
      </c>
      <c r="F330" s="17" t="s">
        <v>114</v>
      </c>
      <c r="G330" s="16"/>
      <c r="H330" s="17" t="s">
        <v>114</v>
      </c>
      <c r="I330" s="10">
        <f t="shared" si="5"/>
        <v>4</v>
      </c>
      <c r="J330" s="10" t="s">
        <v>115</v>
      </c>
    </row>
    <row r="331" spans="1:10" x14ac:dyDescent="0.35">
      <c r="A331" s="15" t="s">
        <v>192</v>
      </c>
      <c r="B331" s="15" t="s">
        <v>113</v>
      </c>
      <c r="C331" s="16"/>
      <c r="D331" s="16"/>
      <c r="E331" s="17" t="s">
        <v>114</v>
      </c>
      <c r="F331" s="16"/>
      <c r="G331" s="16"/>
      <c r="H331" s="17" t="s">
        <v>114</v>
      </c>
      <c r="I331" s="10">
        <f t="shared" si="5"/>
        <v>2</v>
      </c>
      <c r="J331" s="10" t="s">
        <v>124</v>
      </c>
    </row>
    <row r="332" spans="1:10" x14ac:dyDescent="0.35">
      <c r="A332" s="15" t="s">
        <v>192</v>
      </c>
      <c r="B332" s="15" t="s">
        <v>125</v>
      </c>
      <c r="C332" s="16"/>
      <c r="D332" s="16"/>
      <c r="E332" s="17" t="s">
        <v>114</v>
      </c>
      <c r="F332" s="16"/>
      <c r="G332" s="16"/>
      <c r="H332" s="17" t="s">
        <v>114</v>
      </c>
      <c r="I332" s="10">
        <f t="shared" si="5"/>
        <v>2</v>
      </c>
      <c r="J332" s="10" t="s">
        <v>124</v>
      </c>
    </row>
    <row r="333" spans="1:10" x14ac:dyDescent="0.35">
      <c r="A333" s="15" t="s">
        <v>192</v>
      </c>
      <c r="B333" s="15" t="s">
        <v>118</v>
      </c>
      <c r="C333" s="16"/>
      <c r="D333" s="16"/>
      <c r="E333" s="17" t="s">
        <v>114</v>
      </c>
      <c r="F333" s="16"/>
      <c r="G333" s="16"/>
      <c r="H333" s="17" t="s">
        <v>114</v>
      </c>
      <c r="I333" s="10">
        <f t="shared" si="5"/>
        <v>2</v>
      </c>
      <c r="J333" s="10" t="s">
        <v>124</v>
      </c>
    </row>
    <row r="334" spans="1:10" x14ac:dyDescent="0.35">
      <c r="A334" s="15" t="s">
        <v>192</v>
      </c>
      <c r="B334" s="15" t="s">
        <v>121</v>
      </c>
      <c r="C334" s="16"/>
      <c r="D334" s="16"/>
      <c r="E334" s="17" t="s">
        <v>114</v>
      </c>
      <c r="F334" s="16"/>
      <c r="G334" s="16"/>
      <c r="H334" s="17" t="s">
        <v>114</v>
      </c>
      <c r="I334" s="10">
        <f t="shared" si="5"/>
        <v>2</v>
      </c>
      <c r="J334" s="10" t="s">
        <v>124</v>
      </c>
    </row>
    <row r="335" spans="1:10" x14ac:dyDescent="0.35">
      <c r="A335" s="15" t="s">
        <v>193</v>
      </c>
      <c r="B335" s="15" t="s">
        <v>113</v>
      </c>
      <c r="C335" s="16"/>
      <c r="D335" s="16"/>
      <c r="E335" s="17" t="s">
        <v>114</v>
      </c>
      <c r="F335" s="16"/>
      <c r="G335" s="16"/>
      <c r="H335" s="17" t="s">
        <v>114</v>
      </c>
      <c r="I335" s="10">
        <f t="shared" si="5"/>
        <v>2</v>
      </c>
      <c r="J335" s="10" t="s">
        <v>124</v>
      </c>
    </row>
    <row r="336" spans="1:10" x14ac:dyDescent="0.35">
      <c r="A336" s="15" t="s">
        <v>193</v>
      </c>
      <c r="B336" s="15" t="s">
        <v>125</v>
      </c>
      <c r="C336" s="16"/>
      <c r="D336" s="16"/>
      <c r="E336" s="17" t="s">
        <v>114</v>
      </c>
      <c r="F336" s="16"/>
      <c r="G336" s="16"/>
      <c r="H336" s="17" t="s">
        <v>114</v>
      </c>
      <c r="I336" s="10">
        <f t="shared" si="5"/>
        <v>2</v>
      </c>
      <c r="J336" s="10" t="s">
        <v>124</v>
      </c>
    </row>
    <row r="337" spans="1:10" x14ac:dyDescent="0.35">
      <c r="A337" s="15" t="s">
        <v>193</v>
      </c>
      <c r="B337" s="15" t="s">
        <v>118</v>
      </c>
      <c r="C337" s="16"/>
      <c r="D337" s="16"/>
      <c r="E337" s="17" t="s">
        <v>114</v>
      </c>
      <c r="F337" s="16"/>
      <c r="G337" s="16"/>
      <c r="H337" s="17" t="s">
        <v>114</v>
      </c>
      <c r="I337" s="10">
        <f t="shared" si="5"/>
        <v>2</v>
      </c>
      <c r="J337" s="10" t="s">
        <v>124</v>
      </c>
    </row>
    <row r="338" spans="1:10" x14ac:dyDescent="0.35">
      <c r="A338" s="15" t="s">
        <v>194</v>
      </c>
      <c r="B338" s="15" t="s">
        <v>113</v>
      </c>
      <c r="C338" s="16"/>
      <c r="D338" s="16"/>
      <c r="E338" s="17" t="s">
        <v>114</v>
      </c>
      <c r="F338" s="16"/>
      <c r="G338" s="16"/>
      <c r="H338" s="17" t="s">
        <v>114</v>
      </c>
      <c r="I338" s="10">
        <f t="shared" si="5"/>
        <v>2</v>
      </c>
      <c r="J338" s="10" t="s">
        <v>124</v>
      </c>
    </row>
    <row r="339" spans="1:10" x14ac:dyDescent="0.35">
      <c r="A339" s="15" t="s">
        <v>194</v>
      </c>
      <c r="B339" s="15" t="s">
        <v>125</v>
      </c>
      <c r="C339" s="16"/>
      <c r="D339" s="16"/>
      <c r="E339" s="17" t="s">
        <v>114</v>
      </c>
      <c r="F339" s="16"/>
      <c r="G339" s="16"/>
      <c r="H339" s="17" t="s">
        <v>114</v>
      </c>
      <c r="I339" s="10">
        <f t="shared" si="5"/>
        <v>2</v>
      </c>
      <c r="J339" s="10" t="s">
        <v>124</v>
      </c>
    </row>
    <row r="340" spans="1:10" x14ac:dyDescent="0.35">
      <c r="A340" s="15" t="s">
        <v>194</v>
      </c>
      <c r="B340" s="15" t="s">
        <v>118</v>
      </c>
      <c r="C340" s="16"/>
      <c r="D340" s="16"/>
      <c r="E340" s="17" t="s">
        <v>114</v>
      </c>
      <c r="F340" s="16"/>
      <c r="G340" s="16"/>
      <c r="H340" s="17" t="s">
        <v>114</v>
      </c>
      <c r="I340" s="10">
        <f t="shared" si="5"/>
        <v>2</v>
      </c>
      <c r="J340" s="10" t="s">
        <v>124</v>
      </c>
    </row>
    <row r="341" spans="1:10" x14ac:dyDescent="0.35">
      <c r="A341" s="15" t="s">
        <v>194</v>
      </c>
      <c r="B341" s="15" t="s">
        <v>121</v>
      </c>
      <c r="C341" s="16"/>
      <c r="D341" s="16"/>
      <c r="E341" s="17" t="s">
        <v>114</v>
      </c>
      <c r="F341" s="16"/>
      <c r="G341" s="16"/>
      <c r="H341" s="17" t="s">
        <v>114</v>
      </c>
      <c r="I341" s="10">
        <f t="shared" si="5"/>
        <v>2</v>
      </c>
      <c r="J341" s="10" t="s">
        <v>124</v>
      </c>
    </row>
    <row r="342" spans="1:10" x14ac:dyDescent="0.35">
      <c r="A342" s="15" t="s">
        <v>195</v>
      </c>
      <c r="B342" s="15" t="s">
        <v>113</v>
      </c>
      <c r="C342" s="16"/>
      <c r="D342" s="16"/>
      <c r="E342" s="17" t="s">
        <v>114</v>
      </c>
      <c r="F342" s="16"/>
      <c r="G342" s="16"/>
      <c r="H342" s="17" t="s">
        <v>114</v>
      </c>
      <c r="I342" s="10">
        <f t="shared" si="5"/>
        <v>2</v>
      </c>
      <c r="J342" s="10" t="s">
        <v>115</v>
      </c>
    </row>
    <row r="343" spans="1:10" x14ac:dyDescent="0.35">
      <c r="A343" s="15" t="s">
        <v>195</v>
      </c>
      <c r="B343" s="15" t="s">
        <v>116</v>
      </c>
      <c r="C343" s="16"/>
      <c r="D343" s="16"/>
      <c r="E343" s="17" t="s">
        <v>114</v>
      </c>
      <c r="F343" s="16"/>
      <c r="G343" s="16"/>
      <c r="H343" s="17" t="s">
        <v>114</v>
      </c>
      <c r="I343" s="10">
        <f t="shared" si="5"/>
        <v>2</v>
      </c>
      <c r="J343" s="10" t="s">
        <v>115</v>
      </c>
    </row>
    <row r="344" spans="1:10" x14ac:dyDescent="0.35">
      <c r="A344" s="15" t="s">
        <v>195</v>
      </c>
      <c r="B344" s="15" t="s">
        <v>117</v>
      </c>
      <c r="C344" s="16"/>
      <c r="D344" s="16"/>
      <c r="E344" s="17" t="s">
        <v>114</v>
      </c>
      <c r="F344" s="16"/>
      <c r="G344" s="16"/>
      <c r="H344" s="17" t="s">
        <v>114</v>
      </c>
      <c r="I344" s="10">
        <f t="shared" si="5"/>
        <v>2</v>
      </c>
      <c r="J344" s="10" t="s">
        <v>115</v>
      </c>
    </row>
    <row r="345" spans="1:10" x14ac:dyDescent="0.35">
      <c r="A345" s="15" t="s">
        <v>195</v>
      </c>
      <c r="B345" s="15" t="s">
        <v>118</v>
      </c>
      <c r="C345" s="16"/>
      <c r="D345" s="16"/>
      <c r="E345" s="17" t="s">
        <v>114</v>
      </c>
      <c r="F345" s="16"/>
      <c r="G345" s="16"/>
      <c r="H345" s="17" t="s">
        <v>114</v>
      </c>
      <c r="I345" s="10">
        <f t="shared" si="5"/>
        <v>2</v>
      </c>
      <c r="J345" s="10" t="s">
        <v>115</v>
      </c>
    </row>
    <row r="346" spans="1:10" x14ac:dyDescent="0.35">
      <c r="A346" s="15" t="s">
        <v>195</v>
      </c>
      <c r="B346" s="15" t="s">
        <v>119</v>
      </c>
      <c r="C346" s="16"/>
      <c r="D346" s="16"/>
      <c r="E346" s="17" t="s">
        <v>114</v>
      </c>
      <c r="F346" s="16"/>
      <c r="G346" s="16"/>
      <c r="H346" s="17" t="s">
        <v>114</v>
      </c>
      <c r="I346" s="10">
        <f t="shared" si="5"/>
        <v>2</v>
      </c>
      <c r="J346" s="10" t="s">
        <v>115</v>
      </c>
    </row>
    <row r="347" spans="1:10" x14ac:dyDescent="0.35">
      <c r="A347" s="15" t="s">
        <v>195</v>
      </c>
      <c r="B347" s="15" t="s">
        <v>120</v>
      </c>
      <c r="C347" s="16"/>
      <c r="D347" s="16"/>
      <c r="E347" s="17" t="s">
        <v>114</v>
      </c>
      <c r="F347" s="16"/>
      <c r="G347" s="16"/>
      <c r="H347" s="17" t="s">
        <v>114</v>
      </c>
      <c r="I347" s="10">
        <f t="shared" si="5"/>
        <v>2</v>
      </c>
      <c r="J347" s="10" t="s">
        <v>115</v>
      </c>
    </row>
    <row r="348" spans="1:10" x14ac:dyDescent="0.35">
      <c r="A348" s="15" t="s">
        <v>195</v>
      </c>
      <c r="B348" s="15" t="s">
        <v>121</v>
      </c>
      <c r="C348" s="16"/>
      <c r="D348" s="16"/>
      <c r="E348" s="17" t="s">
        <v>114</v>
      </c>
      <c r="F348" s="16"/>
      <c r="G348" s="16"/>
      <c r="H348" s="17" t="s">
        <v>114</v>
      </c>
      <c r="I348" s="10">
        <f t="shared" si="5"/>
        <v>2</v>
      </c>
      <c r="J348" s="10" t="s">
        <v>115</v>
      </c>
    </row>
    <row r="349" spans="1:10" x14ac:dyDescent="0.35">
      <c r="A349" s="15" t="s">
        <v>196</v>
      </c>
      <c r="B349" s="15" t="s">
        <v>113</v>
      </c>
      <c r="C349" s="16"/>
      <c r="D349" s="16"/>
      <c r="E349" s="17" t="s">
        <v>114</v>
      </c>
      <c r="F349" s="16"/>
      <c r="G349" s="16"/>
      <c r="H349" s="17" t="s">
        <v>114</v>
      </c>
      <c r="I349" s="10">
        <f t="shared" si="5"/>
        <v>2</v>
      </c>
      <c r="J349" s="10" t="s">
        <v>124</v>
      </c>
    </row>
    <row r="350" spans="1:10" x14ac:dyDescent="0.35">
      <c r="A350" s="15" t="s">
        <v>196</v>
      </c>
      <c r="B350" s="15" t="s">
        <v>125</v>
      </c>
      <c r="C350" s="16"/>
      <c r="D350" s="16"/>
      <c r="E350" s="17" t="s">
        <v>114</v>
      </c>
      <c r="F350" s="16"/>
      <c r="G350" s="16"/>
      <c r="H350" s="17" t="s">
        <v>114</v>
      </c>
      <c r="I350" s="10">
        <f t="shared" si="5"/>
        <v>2</v>
      </c>
      <c r="J350" s="10" t="s">
        <v>124</v>
      </c>
    </row>
    <row r="351" spans="1:10" x14ac:dyDescent="0.35">
      <c r="A351" s="15" t="s">
        <v>196</v>
      </c>
      <c r="B351" s="15" t="s">
        <v>118</v>
      </c>
      <c r="C351" s="16"/>
      <c r="D351" s="16"/>
      <c r="E351" s="17" t="s">
        <v>114</v>
      </c>
      <c r="F351" s="16"/>
      <c r="G351" s="16"/>
      <c r="H351" s="17" t="s">
        <v>114</v>
      </c>
      <c r="I351" s="10">
        <f t="shared" si="5"/>
        <v>2</v>
      </c>
      <c r="J351" s="10" t="s">
        <v>124</v>
      </c>
    </row>
    <row r="352" spans="1:10" x14ac:dyDescent="0.35">
      <c r="A352" s="15" t="s">
        <v>196</v>
      </c>
      <c r="B352" s="15" t="s">
        <v>121</v>
      </c>
      <c r="C352" s="16"/>
      <c r="D352" s="16"/>
      <c r="E352" s="17" t="s">
        <v>114</v>
      </c>
      <c r="F352" s="16"/>
      <c r="G352" s="16"/>
      <c r="H352" s="17" t="s">
        <v>114</v>
      </c>
      <c r="I352" s="10">
        <f t="shared" si="5"/>
        <v>2</v>
      </c>
      <c r="J352" s="10" t="s">
        <v>124</v>
      </c>
    </row>
    <row r="353" spans="1:10" x14ac:dyDescent="0.35">
      <c r="A353" s="15" t="s">
        <v>197</v>
      </c>
      <c r="B353" s="15" t="s">
        <v>113</v>
      </c>
      <c r="C353" s="16"/>
      <c r="D353" s="16"/>
      <c r="E353" s="17" t="s">
        <v>114</v>
      </c>
      <c r="F353" s="16"/>
      <c r="G353" s="16"/>
      <c r="H353" s="17" t="s">
        <v>114</v>
      </c>
      <c r="I353" s="10">
        <f t="shared" si="5"/>
        <v>2</v>
      </c>
      <c r="J353" s="10" t="s">
        <v>124</v>
      </c>
    </row>
    <row r="354" spans="1:10" x14ac:dyDescent="0.35">
      <c r="A354" s="15" t="s">
        <v>197</v>
      </c>
      <c r="B354" s="15" t="s">
        <v>125</v>
      </c>
      <c r="C354" s="16"/>
      <c r="D354" s="16"/>
      <c r="E354" s="17" t="s">
        <v>114</v>
      </c>
      <c r="F354" s="16"/>
      <c r="G354" s="16"/>
      <c r="H354" s="17" t="s">
        <v>114</v>
      </c>
      <c r="I354" s="10">
        <f t="shared" si="5"/>
        <v>2</v>
      </c>
      <c r="J354" s="10" t="s">
        <v>124</v>
      </c>
    </row>
    <row r="355" spans="1:10" x14ac:dyDescent="0.35">
      <c r="A355" s="15" t="s">
        <v>197</v>
      </c>
      <c r="B355" s="15" t="s">
        <v>118</v>
      </c>
      <c r="C355" s="16"/>
      <c r="D355" s="16"/>
      <c r="E355" s="17" t="s">
        <v>114</v>
      </c>
      <c r="F355" s="16"/>
      <c r="G355" s="16"/>
      <c r="H355" s="17" t="s">
        <v>114</v>
      </c>
      <c r="I355" s="10">
        <f t="shared" si="5"/>
        <v>2</v>
      </c>
      <c r="J355" s="10" t="s">
        <v>124</v>
      </c>
    </row>
    <row r="356" spans="1:10" x14ac:dyDescent="0.35">
      <c r="A356" s="15" t="s">
        <v>197</v>
      </c>
      <c r="B356" s="15" t="s">
        <v>121</v>
      </c>
      <c r="C356" s="16"/>
      <c r="D356" s="16"/>
      <c r="E356" s="17" t="s">
        <v>114</v>
      </c>
      <c r="F356" s="16"/>
      <c r="G356" s="16"/>
      <c r="H356" s="17" t="s">
        <v>114</v>
      </c>
      <c r="I356" s="10">
        <f t="shared" si="5"/>
        <v>2</v>
      </c>
      <c r="J356" s="10" t="s">
        <v>124</v>
      </c>
    </row>
    <row r="357" spans="1:10" x14ac:dyDescent="0.35">
      <c r="A357" s="15" t="s">
        <v>198</v>
      </c>
      <c r="B357" s="15" t="s">
        <v>113</v>
      </c>
      <c r="C357" s="16"/>
      <c r="D357" s="16"/>
      <c r="E357" s="17" t="s">
        <v>114</v>
      </c>
      <c r="F357" s="16"/>
      <c r="G357" s="16"/>
      <c r="H357" s="17" t="s">
        <v>114</v>
      </c>
      <c r="I357" s="10">
        <f t="shared" si="5"/>
        <v>2</v>
      </c>
      <c r="J357" s="10" t="s">
        <v>124</v>
      </c>
    </row>
    <row r="358" spans="1:10" x14ac:dyDescent="0.35">
      <c r="A358" s="15" t="s">
        <v>198</v>
      </c>
      <c r="B358" s="15" t="s">
        <v>125</v>
      </c>
      <c r="C358" s="16"/>
      <c r="D358" s="16"/>
      <c r="E358" s="17" t="s">
        <v>114</v>
      </c>
      <c r="F358" s="16"/>
      <c r="G358" s="16"/>
      <c r="H358" s="17" t="s">
        <v>114</v>
      </c>
      <c r="I358" s="10">
        <f t="shared" si="5"/>
        <v>2</v>
      </c>
      <c r="J358" s="10" t="s">
        <v>124</v>
      </c>
    </row>
    <row r="359" spans="1:10" x14ac:dyDescent="0.35">
      <c r="A359" s="15" t="s">
        <v>198</v>
      </c>
      <c r="B359" s="15" t="s">
        <v>118</v>
      </c>
      <c r="C359" s="16"/>
      <c r="D359" s="16"/>
      <c r="E359" s="17" t="s">
        <v>114</v>
      </c>
      <c r="F359" s="16"/>
      <c r="G359" s="16"/>
      <c r="H359" s="17" t="s">
        <v>114</v>
      </c>
      <c r="I359" s="10">
        <f t="shared" si="5"/>
        <v>2</v>
      </c>
      <c r="J359" s="10" t="s">
        <v>124</v>
      </c>
    </row>
    <row r="360" spans="1:10" x14ac:dyDescent="0.35">
      <c r="A360" s="15" t="s">
        <v>198</v>
      </c>
      <c r="B360" s="15" t="s">
        <v>121</v>
      </c>
      <c r="C360" s="16"/>
      <c r="D360" s="16"/>
      <c r="E360" s="17" t="s">
        <v>114</v>
      </c>
      <c r="F360" s="16"/>
      <c r="G360" s="16"/>
      <c r="H360" s="17" t="s">
        <v>114</v>
      </c>
      <c r="I360" s="10">
        <f t="shared" si="5"/>
        <v>2</v>
      </c>
      <c r="J360" s="10" t="s">
        <v>124</v>
      </c>
    </row>
    <row r="361" spans="1:10" x14ac:dyDescent="0.35">
      <c r="A361" s="15" t="s">
        <v>199</v>
      </c>
      <c r="B361" s="15" t="s">
        <v>113</v>
      </c>
      <c r="C361" s="16"/>
      <c r="D361" s="16"/>
      <c r="E361" s="17" t="s">
        <v>114</v>
      </c>
      <c r="F361" s="16"/>
      <c r="G361" s="16"/>
      <c r="H361" s="17" t="s">
        <v>114</v>
      </c>
      <c r="I361" s="10">
        <f t="shared" si="5"/>
        <v>2</v>
      </c>
      <c r="J361" s="10" t="s">
        <v>124</v>
      </c>
    </row>
    <row r="362" spans="1:10" x14ac:dyDescent="0.35">
      <c r="A362" s="15" t="s">
        <v>199</v>
      </c>
      <c r="B362" s="15" t="s">
        <v>125</v>
      </c>
      <c r="C362" s="16"/>
      <c r="D362" s="16"/>
      <c r="E362" s="17" t="s">
        <v>114</v>
      </c>
      <c r="F362" s="16"/>
      <c r="G362" s="16"/>
      <c r="H362" s="17" t="s">
        <v>114</v>
      </c>
      <c r="I362" s="10">
        <f t="shared" si="5"/>
        <v>2</v>
      </c>
      <c r="J362" s="10" t="s">
        <v>124</v>
      </c>
    </row>
    <row r="363" spans="1:10" x14ac:dyDescent="0.35">
      <c r="A363" s="15" t="s">
        <v>199</v>
      </c>
      <c r="B363" s="15" t="s">
        <v>118</v>
      </c>
      <c r="C363" s="16"/>
      <c r="D363" s="16"/>
      <c r="E363" s="17" t="s">
        <v>114</v>
      </c>
      <c r="F363" s="16"/>
      <c r="G363" s="16"/>
      <c r="H363" s="17" t="s">
        <v>114</v>
      </c>
      <c r="I363" s="10">
        <f t="shared" si="5"/>
        <v>2</v>
      </c>
      <c r="J363" s="10" t="s">
        <v>124</v>
      </c>
    </row>
    <row r="364" spans="1:10" x14ac:dyDescent="0.35">
      <c r="A364" s="15" t="s">
        <v>199</v>
      </c>
      <c r="B364" s="15" t="s">
        <v>121</v>
      </c>
      <c r="C364" s="16"/>
      <c r="D364" s="16"/>
      <c r="E364" s="17" t="s">
        <v>114</v>
      </c>
      <c r="F364" s="16"/>
      <c r="G364" s="16"/>
      <c r="H364" s="17" t="s">
        <v>114</v>
      </c>
      <c r="I364" s="10">
        <f t="shared" si="5"/>
        <v>2</v>
      </c>
      <c r="J364" s="10" t="s">
        <v>124</v>
      </c>
    </row>
    <row r="365" spans="1:10" x14ac:dyDescent="0.35">
      <c r="A365" s="15" t="s">
        <v>200</v>
      </c>
      <c r="B365" s="15" t="s">
        <v>113</v>
      </c>
      <c r="C365" s="16"/>
      <c r="D365" s="16"/>
      <c r="E365" s="17" t="s">
        <v>114</v>
      </c>
      <c r="F365" s="16"/>
      <c r="G365" s="16"/>
      <c r="H365" s="17" t="s">
        <v>114</v>
      </c>
      <c r="I365" s="10">
        <f t="shared" si="5"/>
        <v>2</v>
      </c>
      <c r="J365" s="10" t="s">
        <v>124</v>
      </c>
    </row>
    <row r="366" spans="1:10" x14ac:dyDescent="0.35">
      <c r="A366" s="15" t="s">
        <v>200</v>
      </c>
      <c r="B366" s="15" t="s">
        <v>125</v>
      </c>
      <c r="C366" s="16"/>
      <c r="D366" s="16"/>
      <c r="E366" s="17" t="s">
        <v>114</v>
      </c>
      <c r="F366" s="16"/>
      <c r="G366" s="16"/>
      <c r="H366" s="17" t="s">
        <v>114</v>
      </c>
      <c r="I366" s="10">
        <f t="shared" si="5"/>
        <v>2</v>
      </c>
      <c r="J366" s="10" t="s">
        <v>124</v>
      </c>
    </row>
    <row r="367" spans="1:10" x14ac:dyDescent="0.35">
      <c r="A367" s="15" t="s">
        <v>200</v>
      </c>
      <c r="B367" s="15" t="s">
        <v>118</v>
      </c>
      <c r="C367" s="16"/>
      <c r="D367" s="16"/>
      <c r="E367" s="17" t="s">
        <v>114</v>
      </c>
      <c r="F367" s="16"/>
      <c r="G367" s="16"/>
      <c r="H367" s="17" t="s">
        <v>114</v>
      </c>
      <c r="I367" s="10">
        <f t="shared" si="5"/>
        <v>2</v>
      </c>
      <c r="J367" s="10" t="s">
        <v>124</v>
      </c>
    </row>
    <row r="368" spans="1:10" x14ac:dyDescent="0.35">
      <c r="A368" s="15" t="s">
        <v>200</v>
      </c>
      <c r="B368" s="15" t="s">
        <v>121</v>
      </c>
      <c r="C368" s="16"/>
      <c r="D368" s="16"/>
      <c r="E368" s="17" t="s">
        <v>114</v>
      </c>
      <c r="F368" s="16"/>
      <c r="G368" s="16"/>
      <c r="H368" s="17" t="s">
        <v>114</v>
      </c>
      <c r="I368" s="10">
        <f t="shared" si="5"/>
        <v>2</v>
      </c>
      <c r="J368" s="10" t="s">
        <v>124</v>
      </c>
    </row>
    <row r="369" spans="1:10" x14ac:dyDescent="0.35">
      <c r="A369" s="15" t="s">
        <v>201</v>
      </c>
      <c r="B369" s="15" t="s">
        <v>113</v>
      </c>
      <c r="C369" s="16"/>
      <c r="D369" s="16"/>
      <c r="E369" s="17" t="s">
        <v>114</v>
      </c>
      <c r="F369" s="16"/>
      <c r="G369" s="17" t="s">
        <v>114</v>
      </c>
      <c r="H369" s="17" t="s">
        <v>114</v>
      </c>
      <c r="I369" s="10">
        <f t="shared" si="5"/>
        <v>3</v>
      </c>
      <c r="J369" s="10" t="s">
        <v>143</v>
      </c>
    </row>
    <row r="370" spans="1:10" x14ac:dyDescent="0.35">
      <c r="A370" s="15" t="s">
        <v>201</v>
      </c>
      <c r="B370" s="15" t="s">
        <v>202</v>
      </c>
      <c r="C370" s="16"/>
      <c r="D370" s="16"/>
      <c r="E370" s="17" t="s">
        <v>114</v>
      </c>
      <c r="F370" s="16"/>
      <c r="G370" s="16"/>
      <c r="H370" s="17" t="s">
        <v>114</v>
      </c>
      <c r="I370" s="10">
        <f t="shared" si="5"/>
        <v>2</v>
      </c>
      <c r="J370" s="10" t="s">
        <v>143</v>
      </c>
    </row>
    <row r="371" spans="1:10" x14ac:dyDescent="0.35">
      <c r="A371" s="15" t="s">
        <v>201</v>
      </c>
      <c r="B371" s="15" t="s">
        <v>203</v>
      </c>
      <c r="C371" s="16"/>
      <c r="D371" s="16"/>
      <c r="E371" s="17" t="s">
        <v>114</v>
      </c>
      <c r="F371" s="16"/>
      <c r="G371" s="16"/>
      <c r="H371" s="17" t="s">
        <v>114</v>
      </c>
      <c r="I371" s="10">
        <f t="shared" si="5"/>
        <v>2</v>
      </c>
      <c r="J371" s="10" t="s">
        <v>143</v>
      </c>
    </row>
    <row r="372" spans="1:10" x14ac:dyDescent="0.35">
      <c r="A372" s="15" t="s">
        <v>204</v>
      </c>
      <c r="B372" s="15" t="s">
        <v>113</v>
      </c>
      <c r="C372" s="16"/>
      <c r="D372" s="16"/>
      <c r="E372" s="17" t="s">
        <v>114</v>
      </c>
      <c r="F372" s="16"/>
      <c r="G372" s="17" t="s">
        <v>114</v>
      </c>
      <c r="H372" s="17" t="s">
        <v>114</v>
      </c>
      <c r="I372" s="10">
        <f t="shared" si="5"/>
        <v>3</v>
      </c>
      <c r="J372" s="10" t="s">
        <v>124</v>
      </c>
    </row>
    <row r="373" spans="1:10" x14ac:dyDescent="0.35">
      <c r="A373" s="15" t="s">
        <v>204</v>
      </c>
      <c r="B373" s="15" t="s">
        <v>125</v>
      </c>
      <c r="C373" s="16"/>
      <c r="D373" s="16"/>
      <c r="E373" s="17" t="s">
        <v>114</v>
      </c>
      <c r="F373" s="16"/>
      <c r="G373" s="17" t="s">
        <v>114</v>
      </c>
      <c r="H373" s="17" t="s">
        <v>114</v>
      </c>
      <c r="I373" s="10">
        <f t="shared" si="5"/>
        <v>3</v>
      </c>
      <c r="J373" s="10" t="s">
        <v>124</v>
      </c>
    </row>
    <row r="374" spans="1:10" x14ac:dyDescent="0.35">
      <c r="A374" s="15" t="s">
        <v>204</v>
      </c>
      <c r="B374" s="15" t="s">
        <v>118</v>
      </c>
      <c r="C374" s="16"/>
      <c r="D374" s="16"/>
      <c r="E374" s="17" t="s">
        <v>114</v>
      </c>
      <c r="F374" s="16"/>
      <c r="G374" s="17" t="s">
        <v>114</v>
      </c>
      <c r="H374" s="17" t="s">
        <v>114</v>
      </c>
      <c r="I374" s="10">
        <f t="shared" si="5"/>
        <v>3</v>
      </c>
      <c r="J374" s="10" t="s">
        <v>124</v>
      </c>
    </row>
    <row r="375" spans="1:10" x14ac:dyDescent="0.35">
      <c r="A375" s="15" t="s">
        <v>204</v>
      </c>
      <c r="B375" s="15" t="s">
        <v>121</v>
      </c>
      <c r="C375" s="16"/>
      <c r="D375" s="16"/>
      <c r="E375" s="17" t="s">
        <v>114</v>
      </c>
      <c r="F375" s="16"/>
      <c r="G375" s="17" t="s">
        <v>114</v>
      </c>
      <c r="H375" s="17" t="s">
        <v>114</v>
      </c>
      <c r="I375" s="10">
        <f t="shared" si="5"/>
        <v>3</v>
      </c>
      <c r="J375" s="10" t="s">
        <v>124</v>
      </c>
    </row>
    <row r="376" spans="1:10" x14ac:dyDescent="0.35">
      <c r="A376" s="15" t="s">
        <v>205</v>
      </c>
      <c r="B376" s="15" t="s">
        <v>113</v>
      </c>
      <c r="C376" s="16"/>
      <c r="D376" s="17" t="s">
        <v>114</v>
      </c>
      <c r="E376" s="16"/>
      <c r="F376" s="17" t="s">
        <v>114</v>
      </c>
      <c r="G376" s="16"/>
      <c r="H376" s="17" t="s">
        <v>114</v>
      </c>
      <c r="I376" s="10">
        <f t="shared" si="5"/>
        <v>3</v>
      </c>
      <c r="J376" s="10" t="s">
        <v>124</v>
      </c>
    </row>
    <row r="377" spans="1:10" x14ac:dyDescent="0.35">
      <c r="A377" s="15" t="s">
        <v>205</v>
      </c>
      <c r="B377" s="15" t="s">
        <v>125</v>
      </c>
      <c r="C377" s="16"/>
      <c r="D377" s="17" t="s">
        <v>114</v>
      </c>
      <c r="E377" s="16"/>
      <c r="F377" s="17" t="s">
        <v>114</v>
      </c>
      <c r="G377" s="16"/>
      <c r="H377" s="17" t="s">
        <v>114</v>
      </c>
      <c r="I377" s="10">
        <f t="shared" si="5"/>
        <v>3</v>
      </c>
      <c r="J377" s="10" t="s">
        <v>124</v>
      </c>
    </row>
    <row r="378" spans="1:10" x14ac:dyDescent="0.35">
      <c r="A378" s="15" t="s">
        <v>205</v>
      </c>
      <c r="B378" s="15" t="s">
        <v>118</v>
      </c>
      <c r="C378" s="16"/>
      <c r="D378" s="17" t="s">
        <v>114</v>
      </c>
      <c r="E378" s="16"/>
      <c r="F378" s="17" t="s">
        <v>114</v>
      </c>
      <c r="G378" s="16"/>
      <c r="H378" s="17" t="s">
        <v>114</v>
      </c>
      <c r="I378" s="10">
        <f t="shared" si="5"/>
        <v>3</v>
      </c>
      <c r="J378" s="10" t="s">
        <v>124</v>
      </c>
    </row>
    <row r="379" spans="1:10" x14ac:dyDescent="0.35">
      <c r="A379" s="15" t="s">
        <v>205</v>
      </c>
      <c r="B379" s="15" t="s">
        <v>121</v>
      </c>
      <c r="C379" s="16"/>
      <c r="D379" s="17" t="s">
        <v>114</v>
      </c>
      <c r="E379" s="16"/>
      <c r="F379" s="17" t="s">
        <v>114</v>
      </c>
      <c r="G379" s="16"/>
      <c r="H379" s="17" t="s">
        <v>114</v>
      </c>
      <c r="I379" s="10">
        <f t="shared" si="5"/>
        <v>3</v>
      </c>
      <c r="J379" s="10" t="s">
        <v>124</v>
      </c>
    </row>
    <row r="380" spans="1:10" x14ac:dyDescent="0.35">
      <c r="A380" s="15" t="s">
        <v>206</v>
      </c>
      <c r="B380" s="15" t="s">
        <v>113</v>
      </c>
      <c r="C380" s="16"/>
      <c r="D380" s="17" t="s">
        <v>114</v>
      </c>
      <c r="E380" s="17" t="s">
        <v>114</v>
      </c>
      <c r="F380" s="16"/>
      <c r="G380" s="16"/>
      <c r="H380" s="17" t="s">
        <v>114</v>
      </c>
      <c r="I380" s="10">
        <f t="shared" si="5"/>
        <v>3</v>
      </c>
      <c r="J380" s="10" t="s">
        <v>115</v>
      </c>
    </row>
    <row r="381" spans="1:10" x14ac:dyDescent="0.35">
      <c r="A381" s="15" t="s">
        <v>206</v>
      </c>
      <c r="B381" s="15" t="s">
        <v>116</v>
      </c>
      <c r="C381" s="16"/>
      <c r="D381" s="17" t="s">
        <v>114</v>
      </c>
      <c r="E381" s="17" t="s">
        <v>114</v>
      </c>
      <c r="F381" s="16"/>
      <c r="G381" s="16"/>
      <c r="H381" s="17" t="s">
        <v>114</v>
      </c>
      <c r="I381" s="10">
        <f t="shared" si="5"/>
        <v>3</v>
      </c>
      <c r="J381" s="10" t="s">
        <v>115</v>
      </c>
    </row>
    <row r="382" spans="1:10" x14ac:dyDescent="0.35">
      <c r="A382" s="15" t="s">
        <v>206</v>
      </c>
      <c r="B382" s="15" t="s">
        <v>117</v>
      </c>
      <c r="C382" s="16"/>
      <c r="D382" s="17" t="s">
        <v>114</v>
      </c>
      <c r="E382" s="17" t="s">
        <v>114</v>
      </c>
      <c r="F382" s="16"/>
      <c r="G382" s="16"/>
      <c r="H382" s="17" t="s">
        <v>114</v>
      </c>
      <c r="I382" s="10">
        <f t="shared" si="5"/>
        <v>3</v>
      </c>
      <c r="J382" s="10" t="s">
        <v>115</v>
      </c>
    </row>
    <row r="383" spans="1:10" x14ac:dyDescent="0.35">
      <c r="A383" s="15" t="s">
        <v>206</v>
      </c>
      <c r="B383" s="15" t="s">
        <v>118</v>
      </c>
      <c r="C383" s="16"/>
      <c r="D383" s="17" t="s">
        <v>114</v>
      </c>
      <c r="E383" s="17" t="s">
        <v>114</v>
      </c>
      <c r="F383" s="16"/>
      <c r="G383" s="16"/>
      <c r="H383" s="17" t="s">
        <v>114</v>
      </c>
      <c r="I383" s="10">
        <f t="shared" si="5"/>
        <v>3</v>
      </c>
      <c r="J383" s="10" t="s">
        <v>115</v>
      </c>
    </row>
    <row r="384" spans="1:10" x14ac:dyDescent="0.35">
      <c r="A384" s="15" t="s">
        <v>206</v>
      </c>
      <c r="B384" s="15" t="s">
        <v>119</v>
      </c>
      <c r="C384" s="16"/>
      <c r="D384" s="17" t="s">
        <v>114</v>
      </c>
      <c r="E384" s="17" t="s">
        <v>114</v>
      </c>
      <c r="F384" s="16"/>
      <c r="G384" s="16"/>
      <c r="H384" s="17" t="s">
        <v>114</v>
      </c>
      <c r="I384" s="10">
        <f t="shared" si="5"/>
        <v>3</v>
      </c>
      <c r="J384" s="10" t="s">
        <v>115</v>
      </c>
    </row>
    <row r="385" spans="1:10" x14ac:dyDescent="0.35">
      <c r="A385" s="15" t="s">
        <v>206</v>
      </c>
      <c r="B385" s="15" t="s">
        <v>120</v>
      </c>
      <c r="C385" s="16"/>
      <c r="D385" s="17" t="s">
        <v>114</v>
      </c>
      <c r="E385" s="17" t="s">
        <v>114</v>
      </c>
      <c r="F385" s="16"/>
      <c r="G385" s="16"/>
      <c r="H385" s="17" t="s">
        <v>114</v>
      </c>
      <c r="I385" s="10">
        <f t="shared" si="5"/>
        <v>3</v>
      </c>
      <c r="J385" s="10" t="s">
        <v>115</v>
      </c>
    </row>
    <row r="386" spans="1:10" x14ac:dyDescent="0.35">
      <c r="A386" s="15" t="s">
        <v>206</v>
      </c>
      <c r="B386" s="15" t="s">
        <v>121</v>
      </c>
      <c r="C386" s="16"/>
      <c r="D386" s="17" t="s">
        <v>114</v>
      </c>
      <c r="E386" s="17" t="s">
        <v>114</v>
      </c>
      <c r="F386" s="16"/>
      <c r="G386" s="16"/>
      <c r="H386" s="17" t="s">
        <v>114</v>
      </c>
      <c r="I386" s="10">
        <f t="shared" ref="I386:I449" si="6">COUNTIF(C386:H386,"✓")</f>
        <v>3</v>
      </c>
      <c r="J386" s="10" t="s">
        <v>115</v>
      </c>
    </row>
    <row r="387" spans="1:10" x14ac:dyDescent="0.35">
      <c r="A387" s="15" t="s">
        <v>207</v>
      </c>
      <c r="B387" s="15" t="s">
        <v>113</v>
      </c>
      <c r="C387" s="16"/>
      <c r="D387" s="17" t="s">
        <v>114</v>
      </c>
      <c r="E387" s="16"/>
      <c r="F387" s="17" t="s">
        <v>114</v>
      </c>
      <c r="G387" s="16"/>
      <c r="H387" s="17" t="s">
        <v>114</v>
      </c>
      <c r="I387" s="10">
        <f t="shared" si="6"/>
        <v>3</v>
      </c>
      <c r="J387" s="10" t="s">
        <v>124</v>
      </c>
    </row>
    <row r="388" spans="1:10" x14ac:dyDescent="0.35">
      <c r="A388" s="15" t="s">
        <v>207</v>
      </c>
      <c r="B388" s="15" t="s">
        <v>125</v>
      </c>
      <c r="C388" s="16"/>
      <c r="D388" s="17" t="s">
        <v>114</v>
      </c>
      <c r="E388" s="16"/>
      <c r="F388" s="17" t="s">
        <v>114</v>
      </c>
      <c r="G388" s="16"/>
      <c r="H388" s="17" t="s">
        <v>114</v>
      </c>
      <c r="I388" s="10">
        <f t="shared" si="6"/>
        <v>3</v>
      </c>
      <c r="J388" s="10" t="s">
        <v>124</v>
      </c>
    </row>
    <row r="389" spans="1:10" x14ac:dyDescent="0.35">
      <c r="A389" s="15" t="s">
        <v>207</v>
      </c>
      <c r="B389" s="15" t="s">
        <v>118</v>
      </c>
      <c r="C389" s="16"/>
      <c r="D389" s="17" t="s">
        <v>114</v>
      </c>
      <c r="E389" s="16"/>
      <c r="F389" s="17" t="s">
        <v>114</v>
      </c>
      <c r="G389" s="16"/>
      <c r="H389" s="17" t="s">
        <v>114</v>
      </c>
      <c r="I389" s="10">
        <f t="shared" si="6"/>
        <v>3</v>
      </c>
      <c r="J389" s="10" t="s">
        <v>124</v>
      </c>
    </row>
    <row r="390" spans="1:10" x14ac:dyDescent="0.35">
      <c r="A390" s="15" t="s">
        <v>207</v>
      </c>
      <c r="B390" s="15" t="s">
        <v>121</v>
      </c>
      <c r="C390" s="16"/>
      <c r="D390" s="17" t="s">
        <v>114</v>
      </c>
      <c r="E390" s="16"/>
      <c r="F390" s="17" t="s">
        <v>114</v>
      </c>
      <c r="G390" s="16"/>
      <c r="H390" s="17" t="s">
        <v>114</v>
      </c>
      <c r="I390" s="10">
        <f t="shared" si="6"/>
        <v>3</v>
      </c>
      <c r="J390" s="10" t="s">
        <v>124</v>
      </c>
    </row>
    <row r="391" spans="1:10" x14ac:dyDescent="0.35">
      <c r="A391" s="15" t="s">
        <v>208</v>
      </c>
      <c r="B391" s="15" t="s">
        <v>113</v>
      </c>
      <c r="C391" s="16"/>
      <c r="D391" s="17" t="s">
        <v>114</v>
      </c>
      <c r="E391" s="16"/>
      <c r="F391" s="17" t="s">
        <v>114</v>
      </c>
      <c r="G391" s="16"/>
      <c r="H391" s="17" t="s">
        <v>114</v>
      </c>
      <c r="I391" s="10">
        <f t="shared" si="6"/>
        <v>3</v>
      </c>
      <c r="J391" s="10" t="s">
        <v>124</v>
      </c>
    </row>
    <row r="392" spans="1:10" x14ac:dyDescent="0.35">
      <c r="A392" s="15" t="s">
        <v>208</v>
      </c>
      <c r="B392" s="15" t="s">
        <v>125</v>
      </c>
      <c r="C392" s="16"/>
      <c r="D392" s="17" t="s">
        <v>114</v>
      </c>
      <c r="E392" s="16"/>
      <c r="F392" s="17" t="s">
        <v>114</v>
      </c>
      <c r="G392" s="16"/>
      <c r="H392" s="17" t="s">
        <v>114</v>
      </c>
      <c r="I392" s="10">
        <f t="shared" si="6"/>
        <v>3</v>
      </c>
      <c r="J392" s="10" t="s">
        <v>124</v>
      </c>
    </row>
    <row r="393" spans="1:10" x14ac:dyDescent="0.35">
      <c r="A393" s="15" t="s">
        <v>208</v>
      </c>
      <c r="B393" s="15" t="s">
        <v>118</v>
      </c>
      <c r="C393" s="16"/>
      <c r="D393" s="17" t="s">
        <v>114</v>
      </c>
      <c r="E393" s="16"/>
      <c r="F393" s="17" t="s">
        <v>114</v>
      </c>
      <c r="G393" s="16"/>
      <c r="H393" s="17" t="s">
        <v>114</v>
      </c>
      <c r="I393" s="10">
        <f t="shared" si="6"/>
        <v>3</v>
      </c>
      <c r="J393" s="10" t="s">
        <v>124</v>
      </c>
    </row>
    <row r="394" spans="1:10" x14ac:dyDescent="0.35">
      <c r="A394" s="15" t="s">
        <v>208</v>
      </c>
      <c r="B394" s="15" t="s">
        <v>121</v>
      </c>
      <c r="C394" s="16"/>
      <c r="D394" s="17" t="s">
        <v>114</v>
      </c>
      <c r="E394" s="16"/>
      <c r="F394" s="17" t="s">
        <v>114</v>
      </c>
      <c r="G394" s="16"/>
      <c r="H394" s="17" t="s">
        <v>114</v>
      </c>
      <c r="I394" s="10">
        <f t="shared" si="6"/>
        <v>3</v>
      </c>
      <c r="J394" s="10" t="s">
        <v>124</v>
      </c>
    </row>
    <row r="395" spans="1:10" x14ac:dyDescent="0.35">
      <c r="A395" s="15" t="s">
        <v>209</v>
      </c>
      <c r="B395" s="15" t="s">
        <v>113</v>
      </c>
      <c r="C395" s="16"/>
      <c r="D395" s="17" t="s">
        <v>114</v>
      </c>
      <c r="E395" s="17" t="s">
        <v>114</v>
      </c>
      <c r="F395" s="16"/>
      <c r="G395" s="16"/>
      <c r="H395" s="17" t="s">
        <v>114</v>
      </c>
      <c r="I395" s="10">
        <f t="shared" si="6"/>
        <v>3</v>
      </c>
      <c r="J395" s="10" t="s">
        <v>124</v>
      </c>
    </row>
    <row r="396" spans="1:10" x14ac:dyDescent="0.35">
      <c r="A396" s="15" t="s">
        <v>209</v>
      </c>
      <c r="B396" s="15" t="s">
        <v>125</v>
      </c>
      <c r="C396" s="16"/>
      <c r="D396" s="17" t="s">
        <v>114</v>
      </c>
      <c r="E396" s="17" t="s">
        <v>114</v>
      </c>
      <c r="F396" s="16"/>
      <c r="G396" s="16"/>
      <c r="H396" s="17" t="s">
        <v>114</v>
      </c>
      <c r="I396" s="10">
        <f t="shared" si="6"/>
        <v>3</v>
      </c>
      <c r="J396" s="10" t="s">
        <v>124</v>
      </c>
    </row>
    <row r="397" spans="1:10" x14ac:dyDescent="0.35">
      <c r="A397" s="15" t="s">
        <v>209</v>
      </c>
      <c r="B397" s="15" t="s">
        <v>118</v>
      </c>
      <c r="C397" s="16"/>
      <c r="D397" s="17" t="s">
        <v>114</v>
      </c>
      <c r="E397" s="17" t="s">
        <v>114</v>
      </c>
      <c r="F397" s="16"/>
      <c r="G397" s="16"/>
      <c r="H397" s="17" t="s">
        <v>114</v>
      </c>
      <c r="I397" s="10">
        <f t="shared" si="6"/>
        <v>3</v>
      </c>
      <c r="J397" s="10" t="s">
        <v>124</v>
      </c>
    </row>
    <row r="398" spans="1:10" x14ac:dyDescent="0.35">
      <c r="A398" s="15" t="s">
        <v>209</v>
      </c>
      <c r="B398" s="15" t="s">
        <v>121</v>
      </c>
      <c r="C398" s="16"/>
      <c r="D398" s="17" t="s">
        <v>114</v>
      </c>
      <c r="E398" s="17" t="s">
        <v>114</v>
      </c>
      <c r="F398" s="16"/>
      <c r="G398" s="16"/>
      <c r="H398" s="17" t="s">
        <v>114</v>
      </c>
      <c r="I398" s="10">
        <f t="shared" si="6"/>
        <v>3</v>
      </c>
      <c r="J398" s="10" t="s">
        <v>124</v>
      </c>
    </row>
    <row r="399" spans="1:10" x14ac:dyDescent="0.35">
      <c r="A399" s="15" t="s">
        <v>210</v>
      </c>
      <c r="B399" s="15" t="s">
        <v>211</v>
      </c>
      <c r="C399" s="16"/>
      <c r="D399" s="16"/>
      <c r="E399" s="16"/>
      <c r="F399" s="16"/>
      <c r="G399" s="16"/>
      <c r="H399" s="17" t="s">
        <v>114</v>
      </c>
      <c r="I399" s="10">
        <f t="shared" si="6"/>
        <v>1</v>
      </c>
      <c r="J399" s="10" t="s">
        <v>143</v>
      </c>
    </row>
    <row r="400" spans="1:10" x14ac:dyDescent="0.35">
      <c r="A400" s="15" t="s">
        <v>212</v>
      </c>
      <c r="B400" s="15" t="s">
        <v>113</v>
      </c>
      <c r="C400" s="16"/>
      <c r="D400" s="17" t="s">
        <v>114</v>
      </c>
      <c r="E400" s="17" t="s">
        <v>114</v>
      </c>
      <c r="F400" s="16"/>
      <c r="G400" s="16"/>
      <c r="H400" s="17" t="s">
        <v>114</v>
      </c>
      <c r="I400" s="10">
        <f t="shared" si="6"/>
        <v>3</v>
      </c>
      <c r="J400" s="10" t="s">
        <v>115</v>
      </c>
    </row>
    <row r="401" spans="1:10" x14ac:dyDescent="0.35">
      <c r="A401" s="15" t="s">
        <v>212</v>
      </c>
      <c r="B401" s="15" t="s">
        <v>116</v>
      </c>
      <c r="C401" s="16"/>
      <c r="D401" s="17" t="s">
        <v>114</v>
      </c>
      <c r="E401" s="17" t="s">
        <v>114</v>
      </c>
      <c r="F401" s="16"/>
      <c r="G401" s="16"/>
      <c r="H401" s="17" t="s">
        <v>114</v>
      </c>
      <c r="I401" s="10">
        <f t="shared" si="6"/>
        <v>3</v>
      </c>
      <c r="J401" s="10" t="s">
        <v>115</v>
      </c>
    </row>
    <row r="402" spans="1:10" x14ac:dyDescent="0.35">
      <c r="A402" s="15" t="s">
        <v>212</v>
      </c>
      <c r="B402" s="15" t="s">
        <v>117</v>
      </c>
      <c r="C402" s="16"/>
      <c r="D402" s="17" t="s">
        <v>114</v>
      </c>
      <c r="E402" s="17" t="s">
        <v>114</v>
      </c>
      <c r="F402" s="16"/>
      <c r="G402" s="16"/>
      <c r="H402" s="17" t="s">
        <v>114</v>
      </c>
      <c r="I402" s="10">
        <f t="shared" si="6"/>
        <v>3</v>
      </c>
      <c r="J402" s="10" t="s">
        <v>115</v>
      </c>
    </row>
    <row r="403" spans="1:10" x14ac:dyDescent="0.35">
      <c r="A403" s="15" t="s">
        <v>212</v>
      </c>
      <c r="B403" s="15" t="s">
        <v>118</v>
      </c>
      <c r="C403" s="16"/>
      <c r="D403" s="17" t="s">
        <v>114</v>
      </c>
      <c r="E403" s="17" t="s">
        <v>114</v>
      </c>
      <c r="F403" s="16"/>
      <c r="G403" s="16"/>
      <c r="H403" s="17" t="s">
        <v>114</v>
      </c>
      <c r="I403" s="10">
        <f t="shared" si="6"/>
        <v>3</v>
      </c>
      <c r="J403" s="10" t="s">
        <v>115</v>
      </c>
    </row>
    <row r="404" spans="1:10" x14ac:dyDescent="0.35">
      <c r="A404" s="15" t="s">
        <v>212</v>
      </c>
      <c r="B404" s="15" t="s">
        <v>119</v>
      </c>
      <c r="C404" s="16"/>
      <c r="D404" s="17" t="s">
        <v>114</v>
      </c>
      <c r="E404" s="17" t="s">
        <v>114</v>
      </c>
      <c r="F404" s="16"/>
      <c r="G404" s="16"/>
      <c r="H404" s="17" t="s">
        <v>114</v>
      </c>
      <c r="I404" s="10">
        <f t="shared" si="6"/>
        <v>3</v>
      </c>
      <c r="J404" s="10" t="s">
        <v>115</v>
      </c>
    </row>
    <row r="405" spans="1:10" x14ac:dyDescent="0.35">
      <c r="A405" s="15" t="s">
        <v>212</v>
      </c>
      <c r="B405" s="15" t="s">
        <v>120</v>
      </c>
      <c r="C405" s="16"/>
      <c r="D405" s="17" t="s">
        <v>114</v>
      </c>
      <c r="E405" s="17" t="s">
        <v>114</v>
      </c>
      <c r="F405" s="16"/>
      <c r="G405" s="16"/>
      <c r="H405" s="17" t="s">
        <v>114</v>
      </c>
      <c r="I405" s="10">
        <f t="shared" si="6"/>
        <v>3</v>
      </c>
      <c r="J405" s="10" t="s">
        <v>115</v>
      </c>
    </row>
    <row r="406" spans="1:10" x14ac:dyDescent="0.35">
      <c r="A406" s="15" t="s">
        <v>212</v>
      </c>
      <c r="B406" s="15" t="s">
        <v>121</v>
      </c>
      <c r="C406" s="16"/>
      <c r="D406" s="17" t="s">
        <v>114</v>
      </c>
      <c r="E406" s="17" t="s">
        <v>114</v>
      </c>
      <c r="F406" s="16"/>
      <c r="G406" s="16"/>
      <c r="H406" s="17" t="s">
        <v>114</v>
      </c>
      <c r="I406" s="10">
        <f t="shared" si="6"/>
        <v>3</v>
      </c>
      <c r="J406" s="10" t="s">
        <v>115</v>
      </c>
    </row>
    <row r="407" spans="1:10" x14ac:dyDescent="0.35">
      <c r="A407" s="15" t="s">
        <v>213</v>
      </c>
      <c r="B407" s="15" t="s">
        <v>113</v>
      </c>
      <c r="C407" s="17" t="s">
        <v>114</v>
      </c>
      <c r="D407" s="17" t="s">
        <v>114</v>
      </c>
      <c r="E407" s="17" t="s">
        <v>114</v>
      </c>
      <c r="F407" s="16"/>
      <c r="G407" s="17" t="s">
        <v>114</v>
      </c>
      <c r="H407" s="17" t="s">
        <v>114</v>
      </c>
      <c r="I407" s="10">
        <f t="shared" si="6"/>
        <v>5</v>
      </c>
      <c r="J407" s="10" t="s">
        <v>124</v>
      </c>
    </row>
    <row r="408" spans="1:10" x14ac:dyDescent="0.35">
      <c r="A408" s="15" t="s">
        <v>213</v>
      </c>
      <c r="B408" s="15" t="s">
        <v>125</v>
      </c>
      <c r="C408" s="17" t="s">
        <v>114</v>
      </c>
      <c r="D408" s="17" t="s">
        <v>114</v>
      </c>
      <c r="E408" s="17" t="s">
        <v>114</v>
      </c>
      <c r="F408" s="16"/>
      <c r="G408" s="17" t="s">
        <v>114</v>
      </c>
      <c r="H408" s="17" t="s">
        <v>114</v>
      </c>
      <c r="I408" s="10">
        <f t="shared" si="6"/>
        <v>5</v>
      </c>
      <c r="J408" s="10" t="s">
        <v>124</v>
      </c>
    </row>
    <row r="409" spans="1:10" x14ac:dyDescent="0.35">
      <c r="A409" s="15" t="s">
        <v>213</v>
      </c>
      <c r="B409" s="15" t="s">
        <v>118</v>
      </c>
      <c r="C409" s="17" t="s">
        <v>114</v>
      </c>
      <c r="D409" s="17" t="s">
        <v>114</v>
      </c>
      <c r="E409" s="17" t="s">
        <v>114</v>
      </c>
      <c r="F409" s="16"/>
      <c r="G409" s="17" t="s">
        <v>114</v>
      </c>
      <c r="H409" s="17" t="s">
        <v>114</v>
      </c>
      <c r="I409" s="10">
        <f t="shared" si="6"/>
        <v>5</v>
      </c>
      <c r="J409" s="10" t="s">
        <v>124</v>
      </c>
    </row>
    <row r="410" spans="1:10" x14ac:dyDescent="0.35">
      <c r="A410" s="15" t="s">
        <v>213</v>
      </c>
      <c r="B410" s="15" t="s">
        <v>121</v>
      </c>
      <c r="C410" s="17" t="s">
        <v>114</v>
      </c>
      <c r="D410" s="17" t="s">
        <v>114</v>
      </c>
      <c r="E410" s="17" t="s">
        <v>114</v>
      </c>
      <c r="F410" s="16"/>
      <c r="G410" s="17" t="s">
        <v>114</v>
      </c>
      <c r="H410" s="17" t="s">
        <v>114</v>
      </c>
      <c r="I410" s="10">
        <f t="shared" si="6"/>
        <v>5</v>
      </c>
      <c r="J410" s="10" t="s">
        <v>124</v>
      </c>
    </row>
    <row r="411" spans="1:10" x14ac:dyDescent="0.35">
      <c r="A411" s="15" t="s">
        <v>214</v>
      </c>
      <c r="B411" s="15" t="s">
        <v>113</v>
      </c>
      <c r="C411" s="16"/>
      <c r="D411" s="16"/>
      <c r="E411" s="17" t="s">
        <v>114</v>
      </c>
      <c r="F411" s="16"/>
      <c r="G411" s="16"/>
      <c r="H411" s="17" t="s">
        <v>114</v>
      </c>
      <c r="I411" s="10">
        <f t="shared" si="6"/>
        <v>2</v>
      </c>
      <c r="J411" s="10" t="s">
        <v>124</v>
      </c>
    </row>
    <row r="412" spans="1:10" x14ac:dyDescent="0.35">
      <c r="A412" s="15" t="s">
        <v>214</v>
      </c>
      <c r="B412" s="15" t="s">
        <v>125</v>
      </c>
      <c r="C412" s="16"/>
      <c r="D412" s="16"/>
      <c r="E412" s="17" t="s">
        <v>114</v>
      </c>
      <c r="F412" s="16"/>
      <c r="G412" s="16"/>
      <c r="H412" s="17" t="s">
        <v>114</v>
      </c>
      <c r="I412" s="10">
        <f t="shared" si="6"/>
        <v>2</v>
      </c>
      <c r="J412" s="10" t="s">
        <v>124</v>
      </c>
    </row>
    <row r="413" spans="1:10" x14ac:dyDescent="0.35">
      <c r="A413" s="15" t="s">
        <v>214</v>
      </c>
      <c r="B413" s="15" t="s">
        <v>118</v>
      </c>
      <c r="C413" s="16"/>
      <c r="D413" s="16"/>
      <c r="E413" s="17" t="s">
        <v>114</v>
      </c>
      <c r="F413" s="16"/>
      <c r="G413" s="16"/>
      <c r="H413" s="17" t="s">
        <v>114</v>
      </c>
      <c r="I413" s="10">
        <f t="shared" si="6"/>
        <v>2</v>
      </c>
      <c r="J413" s="10" t="s">
        <v>124</v>
      </c>
    </row>
    <row r="414" spans="1:10" x14ac:dyDescent="0.35">
      <c r="A414" s="15" t="s">
        <v>214</v>
      </c>
      <c r="B414" s="15" t="s">
        <v>121</v>
      </c>
      <c r="C414" s="16"/>
      <c r="D414" s="16"/>
      <c r="E414" s="17" t="s">
        <v>114</v>
      </c>
      <c r="F414" s="16"/>
      <c r="G414" s="16"/>
      <c r="H414" s="17" t="s">
        <v>114</v>
      </c>
      <c r="I414" s="10">
        <f t="shared" si="6"/>
        <v>2</v>
      </c>
      <c r="J414" s="10" t="s">
        <v>124</v>
      </c>
    </row>
    <row r="415" spans="1:10" x14ac:dyDescent="0.35">
      <c r="A415" s="15" t="s">
        <v>215</v>
      </c>
      <c r="B415" s="15" t="s">
        <v>113</v>
      </c>
      <c r="C415" s="16"/>
      <c r="D415" s="16"/>
      <c r="E415" s="17" t="s">
        <v>114</v>
      </c>
      <c r="F415" s="16"/>
      <c r="G415" s="16"/>
      <c r="H415" s="17" t="s">
        <v>114</v>
      </c>
      <c r="I415" s="10">
        <f t="shared" si="6"/>
        <v>2</v>
      </c>
      <c r="J415" s="10" t="s">
        <v>124</v>
      </c>
    </row>
    <row r="416" spans="1:10" x14ac:dyDescent="0.35">
      <c r="A416" s="15" t="s">
        <v>215</v>
      </c>
      <c r="B416" s="15" t="s">
        <v>125</v>
      </c>
      <c r="C416" s="16"/>
      <c r="D416" s="16"/>
      <c r="E416" s="17" t="s">
        <v>114</v>
      </c>
      <c r="F416" s="16"/>
      <c r="G416" s="16"/>
      <c r="H416" s="17" t="s">
        <v>114</v>
      </c>
      <c r="I416" s="10">
        <f t="shared" si="6"/>
        <v>2</v>
      </c>
      <c r="J416" s="10" t="s">
        <v>124</v>
      </c>
    </row>
    <row r="417" spans="1:10" x14ac:dyDescent="0.35">
      <c r="A417" s="15" t="s">
        <v>215</v>
      </c>
      <c r="B417" s="15" t="s">
        <v>118</v>
      </c>
      <c r="C417" s="16"/>
      <c r="D417" s="16"/>
      <c r="E417" s="17" t="s">
        <v>114</v>
      </c>
      <c r="F417" s="16"/>
      <c r="G417" s="16"/>
      <c r="H417" s="17" t="s">
        <v>114</v>
      </c>
      <c r="I417" s="10">
        <f t="shared" si="6"/>
        <v>2</v>
      </c>
      <c r="J417" s="10" t="s">
        <v>124</v>
      </c>
    </row>
    <row r="418" spans="1:10" x14ac:dyDescent="0.35">
      <c r="A418" s="15" t="s">
        <v>215</v>
      </c>
      <c r="B418" s="15" t="s">
        <v>121</v>
      </c>
      <c r="C418" s="16"/>
      <c r="D418" s="16"/>
      <c r="E418" s="17" t="s">
        <v>114</v>
      </c>
      <c r="F418" s="16"/>
      <c r="G418" s="16"/>
      <c r="H418" s="17" t="s">
        <v>114</v>
      </c>
      <c r="I418" s="10">
        <f t="shared" si="6"/>
        <v>2</v>
      </c>
      <c r="J418" s="10" t="s">
        <v>124</v>
      </c>
    </row>
    <row r="419" spans="1:10" x14ac:dyDescent="0.35">
      <c r="A419" s="15" t="s">
        <v>216</v>
      </c>
      <c r="B419" s="15" t="s">
        <v>113</v>
      </c>
      <c r="C419" s="16"/>
      <c r="D419" s="16"/>
      <c r="E419" s="17" t="s">
        <v>114</v>
      </c>
      <c r="F419" s="16"/>
      <c r="G419" s="16"/>
      <c r="H419" s="17" t="s">
        <v>114</v>
      </c>
      <c r="I419" s="10">
        <f t="shared" si="6"/>
        <v>2</v>
      </c>
      <c r="J419" s="10" t="s">
        <v>115</v>
      </c>
    </row>
    <row r="420" spans="1:10" x14ac:dyDescent="0.35">
      <c r="A420" s="15" t="s">
        <v>216</v>
      </c>
      <c r="B420" s="15" t="s">
        <v>116</v>
      </c>
      <c r="C420" s="16"/>
      <c r="D420" s="16"/>
      <c r="E420" s="17" t="s">
        <v>114</v>
      </c>
      <c r="F420" s="16"/>
      <c r="G420" s="16"/>
      <c r="H420" s="17" t="s">
        <v>114</v>
      </c>
      <c r="I420" s="10">
        <f t="shared" si="6"/>
        <v>2</v>
      </c>
      <c r="J420" s="10" t="s">
        <v>115</v>
      </c>
    </row>
    <row r="421" spans="1:10" x14ac:dyDescent="0.35">
      <c r="A421" s="15" t="s">
        <v>216</v>
      </c>
      <c r="B421" s="15" t="s">
        <v>117</v>
      </c>
      <c r="C421" s="16"/>
      <c r="D421" s="16"/>
      <c r="E421" s="17" t="s">
        <v>114</v>
      </c>
      <c r="F421" s="16"/>
      <c r="G421" s="16"/>
      <c r="H421" s="17" t="s">
        <v>114</v>
      </c>
      <c r="I421" s="10">
        <f t="shared" si="6"/>
        <v>2</v>
      </c>
      <c r="J421" s="10" t="s">
        <v>115</v>
      </c>
    </row>
    <row r="422" spans="1:10" x14ac:dyDescent="0.35">
      <c r="A422" s="15" t="s">
        <v>216</v>
      </c>
      <c r="B422" s="15" t="s">
        <v>118</v>
      </c>
      <c r="C422" s="16"/>
      <c r="D422" s="16"/>
      <c r="E422" s="17" t="s">
        <v>114</v>
      </c>
      <c r="F422" s="16"/>
      <c r="G422" s="16"/>
      <c r="H422" s="17" t="s">
        <v>114</v>
      </c>
      <c r="I422" s="10">
        <f t="shared" si="6"/>
        <v>2</v>
      </c>
      <c r="J422" s="10" t="s">
        <v>115</v>
      </c>
    </row>
    <row r="423" spans="1:10" x14ac:dyDescent="0.35">
      <c r="A423" s="15" t="s">
        <v>216</v>
      </c>
      <c r="B423" s="15" t="s">
        <v>119</v>
      </c>
      <c r="C423" s="16"/>
      <c r="D423" s="16"/>
      <c r="E423" s="17" t="s">
        <v>114</v>
      </c>
      <c r="F423" s="16"/>
      <c r="G423" s="16"/>
      <c r="H423" s="17" t="s">
        <v>114</v>
      </c>
      <c r="I423" s="10">
        <f t="shared" si="6"/>
        <v>2</v>
      </c>
      <c r="J423" s="10" t="s">
        <v>115</v>
      </c>
    </row>
    <row r="424" spans="1:10" x14ac:dyDescent="0.35">
      <c r="A424" s="15" t="s">
        <v>216</v>
      </c>
      <c r="B424" s="15" t="s">
        <v>120</v>
      </c>
      <c r="C424" s="16"/>
      <c r="D424" s="16"/>
      <c r="E424" s="17" t="s">
        <v>114</v>
      </c>
      <c r="F424" s="16"/>
      <c r="G424" s="16"/>
      <c r="H424" s="17" t="s">
        <v>114</v>
      </c>
      <c r="I424" s="10">
        <f t="shared" si="6"/>
        <v>2</v>
      </c>
      <c r="J424" s="10" t="s">
        <v>115</v>
      </c>
    </row>
    <row r="425" spans="1:10" x14ac:dyDescent="0.35">
      <c r="A425" s="15" t="s">
        <v>216</v>
      </c>
      <c r="B425" s="15" t="s">
        <v>121</v>
      </c>
      <c r="C425" s="16"/>
      <c r="D425" s="16"/>
      <c r="E425" s="17" t="s">
        <v>114</v>
      </c>
      <c r="F425" s="16"/>
      <c r="G425" s="16"/>
      <c r="H425" s="17" t="s">
        <v>114</v>
      </c>
      <c r="I425" s="10">
        <f t="shared" si="6"/>
        <v>2</v>
      </c>
      <c r="J425" s="10" t="s">
        <v>115</v>
      </c>
    </row>
    <row r="426" spans="1:10" x14ac:dyDescent="0.35">
      <c r="A426" s="15" t="s">
        <v>217</v>
      </c>
      <c r="B426" s="15" t="s">
        <v>113</v>
      </c>
      <c r="C426" s="16"/>
      <c r="D426" s="17" t="s">
        <v>114</v>
      </c>
      <c r="E426" s="17" t="s">
        <v>114</v>
      </c>
      <c r="F426" s="17" t="s">
        <v>114</v>
      </c>
      <c r="G426" s="17" t="s">
        <v>114</v>
      </c>
      <c r="H426" s="17" t="s">
        <v>114</v>
      </c>
      <c r="I426" s="10">
        <f t="shared" si="6"/>
        <v>5</v>
      </c>
      <c r="J426" s="10" t="s">
        <v>124</v>
      </c>
    </row>
    <row r="427" spans="1:10" x14ac:dyDescent="0.35">
      <c r="A427" s="15" t="s">
        <v>217</v>
      </c>
      <c r="B427" s="15" t="s">
        <v>125</v>
      </c>
      <c r="C427" s="16"/>
      <c r="D427" s="17" t="s">
        <v>114</v>
      </c>
      <c r="E427" s="17" t="s">
        <v>114</v>
      </c>
      <c r="F427" s="17" t="s">
        <v>114</v>
      </c>
      <c r="G427" s="17" t="s">
        <v>114</v>
      </c>
      <c r="H427" s="17" t="s">
        <v>114</v>
      </c>
      <c r="I427" s="10">
        <f t="shared" si="6"/>
        <v>5</v>
      </c>
      <c r="J427" s="10" t="s">
        <v>124</v>
      </c>
    </row>
    <row r="428" spans="1:10" x14ac:dyDescent="0.35">
      <c r="A428" s="15" t="s">
        <v>217</v>
      </c>
      <c r="B428" s="15" t="s">
        <v>118</v>
      </c>
      <c r="C428" s="16"/>
      <c r="D428" s="17" t="s">
        <v>114</v>
      </c>
      <c r="E428" s="17" t="s">
        <v>114</v>
      </c>
      <c r="F428" s="17" t="s">
        <v>114</v>
      </c>
      <c r="G428" s="17" t="s">
        <v>114</v>
      </c>
      <c r="H428" s="17" t="s">
        <v>114</v>
      </c>
      <c r="I428" s="10">
        <f t="shared" si="6"/>
        <v>5</v>
      </c>
      <c r="J428" s="10" t="s">
        <v>124</v>
      </c>
    </row>
    <row r="429" spans="1:10" x14ac:dyDescent="0.35">
      <c r="A429" s="15" t="s">
        <v>217</v>
      </c>
      <c r="B429" s="15" t="s">
        <v>121</v>
      </c>
      <c r="C429" s="16"/>
      <c r="D429" s="17" t="s">
        <v>114</v>
      </c>
      <c r="E429" s="17" t="s">
        <v>114</v>
      </c>
      <c r="F429" s="17" t="s">
        <v>114</v>
      </c>
      <c r="G429" s="17" t="s">
        <v>114</v>
      </c>
      <c r="H429" s="17" t="s">
        <v>114</v>
      </c>
      <c r="I429" s="10">
        <f t="shared" si="6"/>
        <v>5</v>
      </c>
      <c r="J429" s="10" t="s">
        <v>124</v>
      </c>
    </row>
    <row r="430" spans="1:10" x14ac:dyDescent="0.35">
      <c r="A430" s="15" t="s">
        <v>218</v>
      </c>
      <c r="B430" s="15" t="s">
        <v>113</v>
      </c>
      <c r="C430" s="16"/>
      <c r="D430" s="17" t="s">
        <v>114</v>
      </c>
      <c r="E430" s="17" t="s">
        <v>114</v>
      </c>
      <c r="F430" s="16"/>
      <c r="G430" s="17" t="s">
        <v>114</v>
      </c>
      <c r="H430" s="17" t="s">
        <v>114</v>
      </c>
      <c r="I430" s="10">
        <f t="shared" si="6"/>
        <v>4</v>
      </c>
      <c r="J430" s="10" t="s">
        <v>124</v>
      </c>
    </row>
    <row r="431" spans="1:10" x14ac:dyDescent="0.35">
      <c r="A431" s="15" t="s">
        <v>218</v>
      </c>
      <c r="B431" s="15" t="s">
        <v>125</v>
      </c>
      <c r="C431" s="16"/>
      <c r="D431" s="17" t="s">
        <v>114</v>
      </c>
      <c r="E431" s="17" t="s">
        <v>114</v>
      </c>
      <c r="F431" s="16"/>
      <c r="G431" s="17" t="s">
        <v>114</v>
      </c>
      <c r="H431" s="17" t="s">
        <v>114</v>
      </c>
      <c r="I431" s="10">
        <f t="shared" si="6"/>
        <v>4</v>
      </c>
      <c r="J431" s="10" t="s">
        <v>124</v>
      </c>
    </row>
    <row r="432" spans="1:10" x14ac:dyDescent="0.35">
      <c r="A432" s="15" t="s">
        <v>218</v>
      </c>
      <c r="B432" s="15" t="s">
        <v>118</v>
      </c>
      <c r="C432" s="16"/>
      <c r="D432" s="17" t="s">
        <v>114</v>
      </c>
      <c r="E432" s="17" t="s">
        <v>114</v>
      </c>
      <c r="F432" s="16"/>
      <c r="G432" s="17" t="s">
        <v>114</v>
      </c>
      <c r="H432" s="17" t="s">
        <v>114</v>
      </c>
      <c r="I432" s="10">
        <f t="shared" si="6"/>
        <v>4</v>
      </c>
      <c r="J432" s="10" t="s">
        <v>124</v>
      </c>
    </row>
    <row r="433" spans="1:10" x14ac:dyDescent="0.35">
      <c r="A433" s="15" t="s">
        <v>218</v>
      </c>
      <c r="B433" s="15" t="s">
        <v>121</v>
      </c>
      <c r="C433" s="16"/>
      <c r="D433" s="17" t="s">
        <v>114</v>
      </c>
      <c r="E433" s="17" t="s">
        <v>114</v>
      </c>
      <c r="F433" s="16"/>
      <c r="G433" s="17" t="s">
        <v>114</v>
      </c>
      <c r="H433" s="17" t="s">
        <v>114</v>
      </c>
      <c r="I433" s="10">
        <f t="shared" si="6"/>
        <v>4</v>
      </c>
      <c r="J433" s="10" t="s">
        <v>124</v>
      </c>
    </row>
    <row r="434" spans="1:10" x14ac:dyDescent="0.35">
      <c r="A434" s="15" t="s">
        <v>219</v>
      </c>
      <c r="B434" s="15" t="s">
        <v>113</v>
      </c>
      <c r="C434" s="16"/>
      <c r="D434" s="17" t="s">
        <v>114</v>
      </c>
      <c r="E434" s="17" t="s">
        <v>114</v>
      </c>
      <c r="F434" s="17" t="s">
        <v>114</v>
      </c>
      <c r="G434" s="17" t="s">
        <v>114</v>
      </c>
      <c r="H434" s="17" t="s">
        <v>114</v>
      </c>
      <c r="I434" s="10">
        <f t="shared" si="6"/>
        <v>5</v>
      </c>
      <c r="J434" s="10" t="s">
        <v>124</v>
      </c>
    </row>
    <row r="435" spans="1:10" x14ac:dyDescent="0.35">
      <c r="A435" s="15" t="s">
        <v>219</v>
      </c>
      <c r="B435" s="15" t="s">
        <v>125</v>
      </c>
      <c r="C435" s="16"/>
      <c r="D435" s="17" t="s">
        <v>114</v>
      </c>
      <c r="E435" s="17" t="s">
        <v>114</v>
      </c>
      <c r="F435" s="17" t="s">
        <v>114</v>
      </c>
      <c r="G435" s="17" t="s">
        <v>114</v>
      </c>
      <c r="H435" s="17" t="s">
        <v>114</v>
      </c>
      <c r="I435" s="10">
        <f t="shared" si="6"/>
        <v>5</v>
      </c>
      <c r="J435" s="10" t="s">
        <v>124</v>
      </c>
    </row>
    <row r="436" spans="1:10" x14ac:dyDescent="0.35">
      <c r="A436" s="15" t="s">
        <v>219</v>
      </c>
      <c r="B436" s="15" t="s">
        <v>118</v>
      </c>
      <c r="C436" s="16"/>
      <c r="D436" s="17" t="s">
        <v>114</v>
      </c>
      <c r="E436" s="17" t="s">
        <v>114</v>
      </c>
      <c r="F436" s="17" t="s">
        <v>114</v>
      </c>
      <c r="G436" s="17" t="s">
        <v>114</v>
      </c>
      <c r="H436" s="17" t="s">
        <v>114</v>
      </c>
      <c r="I436" s="10">
        <f t="shared" si="6"/>
        <v>5</v>
      </c>
      <c r="J436" s="10" t="s">
        <v>124</v>
      </c>
    </row>
    <row r="437" spans="1:10" x14ac:dyDescent="0.35">
      <c r="A437" s="15" t="s">
        <v>219</v>
      </c>
      <c r="B437" s="15" t="s">
        <v>121</v>
      </c>
      <c r="C437" s="16"/>
      <c r="D437" s="17" t="s">
        <v>114</v>
      </c>
      <c r="E437" s="17" t="s">
        <v>114</v>
      </c>
      <c r="F437" s="17" t="s">
        <v>114</v>
      </c>
      <c r="G437" s="17" t="s">
        <v>114</v>
      </c>
      <c r="H437" s="17" t="s">
        <v>114</v>
      </c>
      <c r="I437" s="10">
        <f t="shared" si="6"/>
        <v>5</v>
      </c>
      <c r="J437" s="10" t="s">
        <v>124</v>
      </c>
    </row>
    <row r="438" spans="1:10" x14ac:dyDescent="0.35">
      <c r="A438" s="15" t="s">
        <v>220</v>
      </c>
      <c r="B438" s="15" t="s">
        <v>113</v>
      </c>
      <c r="C438" s="16"/>
      <c r="D438" s="17" t="s">
        <v>114</v>
      </c>
      <c r="E438" s="17" t="s">
        <v>114</v>
      </c>
      <c r="F438" s="16"/>
      <c r="G438" s="17" t="s">
        <v>114</v>
      </c>
      <c r="H438" s="17" t="s">
        <v>114</v>
      </c>
      <c r="I438" s="10">
        <f t="shared" si="6"/>
        <v>4</v>
      </c>
      <c r="J438" s="10" t="s">
        <v>124</v>
      </c>
    </row>
    <row r="439" spans="1:10" x14ac:dyDescent="0.35">
      <c r="A439" s="15" t="s">
        <v>220</v>
      </c>
      <c r="B439" s="15" t="s">
        <v>125</v>
      </c>
      <c r="C439" s="16"/>
      <c r="D439" s="17" t="s">
        <v>114</v>
      </c>
      <c r="E439" s="17" t="s">
        <v>114</v>
      </c>
      <c r="F439" s="16"/>
      <c r="G439" s="16"/>
      <c r="H439" s="17" t="s">
        <v>114</v>
      </c>
      <c r="I439" s="10">
        <f t="shared" si="6"/>
        <v>3</v>
      </c>
      <c r="J439" s="10" t="s">
        <v>124</v>
      </c>
    </row>
    <row r="440" spans="1:10" x14ac:dyDescent="0.35">
      <c r="A440" s="15" t="s">
        <v>220</v>
      </c>
      <c r="B440" s="15" t="s">
        <v>118</v>
      </c>
      <c r="C440" s="16"/>
      <c r="D440" s="17" t="s">
        <v>114</v>
      </c>
      <c r="E440" s="17" t="s">
        <v>114</v>
      </c>
      <c r="F440" s="16"/>
      <c r="G440" s="17" t="s">
        <v>114</v>
      </c>
      <c r="H440" s="17" t="s">
        <v>114</v>
      </c>
      <c r="I440" s="10">
        <f t="shared" si="6"/>
        <v>4</v>
      </c>
      <c r="J440" s="10" t="s">
        <v>124</v>
      </c>
    </row>
    <row r="441" spans="1:10" x14ac:dyDescent="0.35">
      <c r="A441" s="15" t="s">
        <v>220</v>
      </c>
      <c r="B441" s="15" t="s">
        <v>121</v>
      </c>
      <c r="C441" s="16"/>
      <c r="D441" s="17" t="s">
        <v>114</v>
      </c>
      <c r="E441" s="17" t="s">
        <v>114</v>
      </c>
      <c r="F441" s="16"/>
      <c r="G441" s="16"/>
      <c r="H441" s="17" t="s">
        <v>114</v>
      </c>
      <c r="I441" s="10">
        <f t="shared" si="6"/>
        <v>3</v>
      </c>
      <c r="J441" s="10" t="s">
        <v>124</v>
      </c>
    </row>
    <row r="442" spans="1:10" x14ac:dyDescent="0.35">
      <c r="A442" s="15" t="s">
        <v>221</v>
      </c>
      <c r="B442" s="15" t="s">
        <v>113</v>
      </c>
      <c r="C442" s="16"/>
      <c r="D442" s="16"/>
      <c r="E442" s="17" t="s">
        <v>114</v>
      </c>
      <c r="F442" s="16"/>
      <c r="G442" s="17" t="s">
        <v>114</v>
      </c>
      <c r="H442" s="17" t="s">
        <v>114</v>
      </c>
      <c r="I442" s="10">
        <f t="shared" si="6"/>
        <v>3</v>
      </c>
      <c r="J442" s="10" t="s">
        <v>124</v>
      </c>
    </row>
    <row r="443" spans="1:10" x14ac:dyDescent="0.35">
      <c r="A443" s="15" t="s">
        <v>221</v>
      </c>
      <c r="B443" s="15" t="s">
        <v>125</v>
      </c>
      <c r="C443" s="16"/>
      <c r="D443" s="16"/>
      <c r="E443" s="17" t="s">
        <v>114</v>
      </c>
      <c r="F443" s="16"/>
      <c r="G443" s="17" t="s">
        <v>114</v>
      </c>
      <c r="H443" s="17" t="s">
        <v>114</v>
      </c>
      <c r="I443" s="10">
        <f t="shared" si="6"/>
        <v>3</v>
      </c>
      <c r="J443" s="10" t="s">
        <v>124</v>
      </c>
    </row>
    <row r="444" spans="1:10" x14ac:dyDescent="0.35">
      <c r="A444" s="15" t="s">
        <v>221</v>
      </c>
      <c r="B444" s="15" t="s">
        <v>118</v>
      </c>
      <c r="C444" s="16"/>
      <c r="D444" s="16"/>
      <c r="E444" s="17" t="s">
        <v>114</v>
      </c>
      <c r="F444" s="16"/>
      <c r="G444" s="17" t="s">
        <v>114</v>
      </c>
      <c r="H444" s="17" t="s">
        <v>114</v>
      </c>
      <c r="I444" s="10">
        <f t="shared" si="6"/>
        <v>3</v>
      </c>
      <c r="J444" s="10" t="s">
        <v>124</v>
      </c>
    </row>
    <row r="445" spans="1:10" x14ac:dyDescent="0.35">
      <c r="A445" s="15" t="s">
        <v>221</v>
      </c>
      <c r="B445" s="15" t="s">
        <v>222</v>
      </c>
      <c r="C445" s="16"/>
      <c r="D445" s="16"/>
      <c r="E445" s="17" t="s">
        <v>114</v>
      </c>
      <c r="F445" s="16"/>
      <c r="G445" s="17" t="s">
        <v>114</v>
      </c>
      <c r="H445" s="17" t="s">
        <v>114</v>
      </c>
      <c r="I445" s="10">
        <f t="shared" si="6"/>
        <v>3</v>
      </c>
      <c r="J445" s="10" t="s">
        <v>124</v>
      </c>
    </row>
    <row r="446" spans="1:10" x14ac:dyDescent="0.35">
      <c r="A446" s="15" t="s">
        <v>221</v>
      </c>
      <c r="B446" s="15" t="s">
        <v>223</v>
      </c>
      <c r="C446" s="16"/>
      <c r="D446" s="16"/>
      <c r="E446" s="16"/>
      <c r="F446" s="16"/>
      <c r="G446" s="16"/>
      <c r="H446" s="17" t="s">
        <v>114</v>
      </c>
      <c r="I446" s="10">
        <f t="shared" si="6"/>
        <v>1</v>
      </c>
      <c r="J446" s="10" t="s">
        <v>124</v>
      </c>
    </row>
    <row r="447" spans="1:10" x14ac:dyDescent="0.35">
      <c r="A447" s="15" t="s">
        <v>224</v>
      </c>
      <c r="B447" s="15" t="s">
        <v>113</v>
      </c>
      <c r="C447" s="16"/>
      <c r="D447" s="16"/>
      <c r="E447" s="17" t="s">
        <v>114</v>
      </c>
      <c r="F447" s="16"/>
      <c r="G447" s="17" t="s">
        <v>114</v>
      </c>
      <c r="H447" s="17" t="s">
        <v>114</v>
      </c>
      <c r="I447" s="10">
        <f t="shared" si="6"/>
        <v>3</v>
      </c>
      <c r="J447" s="10" t="s">
        <v>124</v>
      </c>
    </row>
    <row r="448" spans="1:10" x14ac:dyDescent="0.35">
      <c r="A448" s="15" t="s">
        <v>224</v>
      </c>
      <c r="B448" s="15" t="s">
        <v>125</v>
      </c>
      <c r="C448" s="16"/>
      <c r="D448" s="16"/>
      <c r="E448" s="17" t="s">
        <v>114</v>
      </c>
      <c r="F448" s="16"/>
      <c r="G448" s="16"/>
      <c r="H448" s="17" t="s">
        <v>114</v>
      </c>
      <c r="I448" s="10">
        <f t="shared" si="6"/>
        <v>2</v>
      </c>
      <c r="J448" s="10" t="s">
        <v>124</v>
      </c>
    </row>
    <row r="449" spans="1:10" x14ac:dyDescent="0.35">
      <c r="A449" s="15" t="s">
        <v>224</v>
      </c>
      <c r="B449" s="15" t="s">
        <v>118</v>
      </c>
      <c r="C449" s="16"/>
      <c r="D449" s="16"/>
      <c r="E449" s="17" t="s">
        <v>114</v>
      </c>
      <c r="F449" s="16"/>
      <c r="G449" s="17" t="s">
        <v>114</v>
      </c>
      <c r="H449" s="17" t="s">
        <v>114</v>
      </c>
      <c r="I449" s="10">
        <f t="shared" si="6"/>
        <v>3</v>
      </c>
      <c r="J449" s="10" t="s">
        <v>124</v>
      </c>
    </row>
    <row r="450" spans="1:10" x14ac:dyDescent="0.35">
      <c r="A450" s="15" t="s">
        <v>224</v>
      </c>
      <c r="B450" s="15" t="s">
        <v>121</v>
      </c>
      <c r="C450" s="16"/>
      <c r="D450" s="16"/>
      <c r="E450" s="17" t="s">
        <v>114</v>
      </c>
      <c r="F450" s="16"/>
      <c r="G450" s="16"/>
      <c r="H450" s="17" t="s">
        <v>114</v>
      </c>
      <c r="I450" s="10">
        <f t="shared" ref="I450:I513" si="7">COUNTIF(C450:H450,"✓")</f>
        <v>2</v>
      </c>
      <c r="J450" s="10" t="s">
        <v>124</v>
      </c>
    </row>
    <row r="451" spans="1:10" x14ac:dyDescent="0.35">
      <c r="A451" s="15" t="s">
        <v>225</v>
      </c>
      <c r="B451" s="15" t="s">
        <v>113</v>
      </c>
      <c r="C451" s="16"/>
      <c r="D451" s="16"/>
      <c r="E451" s="17" t="s">
        <v>114</v>
      </c>
      <c r="F451" s="16"/>
      <c r="G451" s="17" t="s">
        <v>114</v>
      </c>
      <c r="H451" s="17" t="s">
        <v>114</v>
      </c>
      <c r="I451" s="10">
        <f t="shared" si="7"/>
        <v>3</v>
      </c>
      <c r="J451" s="10" t="s">
        <v>124</v>
      </c>
    </row>
    <row r="452" spans="1:10" x14ac:dyDescent="0.35">
      <c r="A452" s="15" t="s">
        <v>225</v>
      </c>
      <c r="B452" s="15" t="s">
        <v>125</v>
      </c>
      <c r="C452" s="16"/>
      <c r="D452" s="16"/>
      <c r="E452" s="17" t="s">
        <v>114</v>
      </c>
      <c r="F452" s="16"/>
      <c r="G452" s="17" t="s">
        <v>114</v>
      </c>
      <c r="H452" s="17" t="s">
        <v>114</v>
      </c>
      <c r="I452" s="10">
        <f t="shared" si="7"/>
        <v>3</v>
      </c>
      <c r="J452" s="10" t="s">
        <v>124</v>
      </c>
    </row>
    <row r="453" spans="1:10" x14ac:dyDescent="0.35">
      <c r="A453" s="15" t="s">
        <v>225</v>
      </c>
      <c r="B453" s="15" t="s">
        <v>118</v>
      </c>
      <c r="C453" s="16"/>
      <c r="D453" s="16"/>
      <c r="E453" s="17" t="s">
        <v>114</v>
      </c>
      <c r="F453" s="16"/>
      <c r="G453" s="17" t="s">
        <v>114</v>
      </c>
      <c r="H453" s="17" t="s">
        <v>114</v>
      </c>
      <c r="I453" s="10">
        <f t="shared" si="7"/>
        <v>3</v>
      </c>
      <c r="J453" s="10" t="s">
        <v>124</v>
      </c>
    </row>
    <row r="454" spans="1:10" x14ac:dyDescent="0.35">
      <c r="A454" s="15" t="s">
        <v>225</v>
      </c>
      <c r="B454" s="15" t="s">
        <v>121</v>
      </c>
      <c r="C454" s="16"/>
      <c r="D454" s="16"/>
      <c r="E454" s="17" t="s">
        <v>114</v>
      </c>
      <c r="F454" s="16"/>
      <c r="G454" s="17" t="s">
        <v>114</v>
      </c>
      <c r="H454" s="17" t="s">
        <v>114</v>
      </c>
      <c r="I454" s="10">
        <f t="shared" si="7"/>
        <v>3</v>
      </c>
      <c r="J454" s="10" t="s">
        <v>124</v>
      </c>
    </row>
    <row r="455" spans="1:10" x14ac:dyDescent="0.35">
      <c r="A455" s="15" t="s">
        <v>226</v>
      </c>
      <c r="B455" s="15" t="s">
        <v>113</v>
      </c>
      <c r="C455" s="16"/>
      <c r="D455" s="16"/>
      <c r="E455" s="17" t="s">
        <v>114</v>
      </c>
      <c r="F455" s="16"/>
      <c r="G455" s="17" t="s">
        <v>114</v>
      </c>
      <c r="H455" s="17" t="s">
        <v>114</v>
      </c>
      <c r="I455" s="10">
        <f t="shared" si="7"/>
        <v>3</v>
      </c>
      <c r="J455" s="10" t="s">
        <v>124</v>
      </c>
    </row>
    <row r="456" spans="1:10" x14ac:dyDescent="0.35">
      <c r="A456" s="15" t="s">
        <v>226</v>
      </c>
      <c r="B456" s="15" t="s">
        <v>125</v>
      </c>
      <c r="C456" s="16"/>
      <c r="D456" s="16"/>
      <c r="E456" s="17" t="s">
        <v>114</v>
      </c>
      <c r="F456" s="16"/>
      <c r="G456" s="17" t="s">
        <v>114</v>
      </c>
      <c r="H456" s="17" t="s">
        <v>114</v>
      </c>
      <c r="I456" s="10">
        <f t="shared" si="7"/>
        <v>3</v>
      </c>
      <c r="J456" s="10" t="s">
        <v>124</v>
      </c>
    </row>
    <row r="457" spans="1:10" x14ac:dyDescent="0.35">
      <c r="A457" s="15" t="s">
        <v>226</v>
      </c>
      <c r="B457" s="15" t="s">
        <v>118</v>
      </c>
      <c r="C457" s="16"/>
      <c r="D457" s="16"/>
      <c r="E457" s="17" t="s">
        <v>114</v>
      </c>
      <c r="F457" s="16"/>
      <c r="G457" s="17" t="s">
        <v>114</v>
      </c>
      <c r="H457" s="17" t="s">
        <v>114</v>
      </c>
      <c r="I457" s="10">
        <f t="shared" si="7"/>
        <v>3</v>
      </c>
      <c r="J457" s="10" t="s">
        <v>124</v>
      </c>
    </row>
    <row r="458" spans="1:10" x14ac:dyDescent="0.35">
      <c r="A458" s="15" t="s">
        <v>226</v>
      </c>
      <c r="B458" s="15" t="s">
        <v>119</v>
      </c>
      <c r="C458" s="16"/>
      <c r="D458" s="16"/>
      <c r="E458" s="16"/>
      <c r="F458" s="16"/>
      <c r="G458" s="16"/>
      <c r="H458" s="17" t="s">
        <v>114</v>
      </c>
      <c r="I458" s="10">
        <f t="shared" si="7"/>
        <v>1</v>
      </c>
      <c r="J458" s="10" t="s">
        <v>124</v>
      </c>
    </row>
    <row r="459" spans="1:10" x14ac:dyDescent="0.35">
      <c r="A459" s="15" t="s">
        <v>226</v>
      </c>
      <c r="B459" s="15" t="s">
        <v>121</v>
      </c>
      <c r="C459" s="16"/>
      <c r="D459" s="16"/>
      <c r="E459" s="17" t="s">
        <v>114</v>
      </c>
      <c r="F459" s="16"/>
      <c r="G459" s="17" t="s">
        <v>114</v>
      </c>
      <c r="H459" s="17" t="s">
        <v>114</v>
      </c>
      <c r="I459" s="10">
        <f t="shared" si="7"/>
        <v>3</v>
      </c>
      <c r="J459" s="10" t="s">
        <v>124</v>
      </c>
    </row>
    <row r="460" spans="1:10" x14ac:dyDescent="0.35">
      <c r="A460" s="15" t="s">
        <v>227</v>
      </c>
      <c r="B460" s="15" t="s">
        <v>113</v>
      </c>
      <c r="C460" s="16"/>
      <c r="D460" s="16"/>
      <c r="E460" s="17" t="s">
        <v>114</v>
      </c>
      <c r="F460" s="16"/>
      <c r="G460" s="17" t="s">
        <v>114</v>
      </c>
      <c r="H460" s="17" t="s">
        <v>114</v>
      </c>
      <c r="I460" s="10">
        <f t="shared" si="7"/>
        <v>3</v>
      </c>
      <c r="J460" s="10" t="s">
        <v>124</v>
      </c>
    </row>
    <row r="461" spans="1:10" x14ac:dyDescent="0.35">
      <c r="A461" s="15" t="s">
        <v>227</v>
      </c>
      <c r="B461" s="15" t="s">
        <v>125</v>
      </c>
      <c r="C461" s="16"/>
      <c r="D461" s="16"/>
      <c r="E461" s="17" t="s">
        <v>114</v>
      </c>
      <c r="F461" s="16"/>
      <c r="G461" s="17" t="s">
        <v>114</v>
      </c>
      <c r="H461" s="17" t="s">
        <v>114</v>
      </c>
      <c r="I461" s="10">
        <f t="shared" si="7"/>
        <v>3</v>
      </c>
      <c r="J461" s="10" t="s">
        <v>124</v>
      </c>
    </row>
    <row r="462" spans="1:10" x14ac:dyDescent="0.35">
      <c r="A462" s="15" t="s">
        <v>227</v>
      </c>
      <c r="B462" s="15" t="s">
        <v>118</v>
      </c>
      <c r="C462" s="16"/>
      <c r="D462" s="16"/>
      <c r="E462" s="17" t="s">
        <v>114</v>
      </c>
      <c r="F462" s="16"/>
      <c r="G462" s="17" t="s">
        <v>114</v>
      </c>
      <c r="H462" s="17" t="s">
        <v>114</v>
      </c>
      <c r="I462" s="10">
        <f t="shared" si="7"/>
        <v>3</v>
      </c>
      <c r="J462" s="10" t="s">
        <v>124</v>
      </c>
    </row>
    <row r="463" spans="1:10" x14ac:dyDescent="0.35">
      <c r="A463" s="15" t="s">
        <v>227</v>
      </c>
      <c r="B463" s="15" t="s">
        <v>121</v>
      </c>
      <c r="C463" s="16"/>
      <c r="D463" s="16"/>
      <c r="E463" s="17" t="s">
        <v>114</v>
      </c>
      <c r="F463" s="16"/>
      <c r="G463" s="17" t="s">
        <v>114</v>
      </c>
      <c r="H463" s="17" t="s">
        <v>114</v>
      </c>
      <c r="I463" s="10">
        <f t="shared" si="7"/>
        <v>3</v>
      </c>
      <c r="J463" s="10" t="s">
        <v>124</v>
      </c>
    </row>
    <row r="464" spans="1:10" x14ac:dyDescent="0.35">
      <c r="A464" s="15" t="s">
        <v>228</v>
      </c>
      <c r="B464" s="15" t="s">
        <v>113</v>
      </c>
      <c r="C464" s="16"/>
      <c r="D464" s="16"/>
      <c r="E464" s="17" t="s">
        <v>114</v>
      </c>
      <c r="F464" s="16"/>
      <c r="G464" s="17" t="s">
        <v>114</v>
      </c>
      <c r="H464" s="17" t="s">
        <v>114</v>
      </c>
      <c r="I464" s="10">
        <f t="shared" si="7"/>
        <v>3</v>
      </c>
      <c r="J464" s="10" t="s">
        <v>124</v>
      </c>
    </row>
    <row r="465" spans="1:10" x14ac:dyDescent="0.35">
      <c r="A465" s="15" t="s">
        <v>228</v>
      </c>
      <c r="B465" s="15" t="s">
        <v>125</v>
      </c>
      <c r="C465" s="16"/>
      <c r="D465" s="16"/>
      <c r="E465" s="17" t="s">
        <v>114</v>
      </c>
      <c r="F465" s="16"/>
      <c r="G465" s="16"/>
      <c r="H465" s="17" t="s">
        <v>114</v>
      </c>
      <c r="I465" s="10">
        <f t="shared" si="7"/>
        <v>2</v>
      </c>
      <c r="J465" s="10" t="s">
        <v>124</v>
      </c>
    </row>
    <row r="466" spans="1:10" x14ac:dyDescent="0.35">
      <c r="A466" s="15" t="s">
        <v>228</v>
      </c>
      <c r="B466" s="15" t="s">
        <v>118</v>
      </c>
      <c r="C466" s="16"/>
      <c r="D466" s="16"/>
      <c r="E466" s="17" t="s">
        <v>114</v>
      </c>
      <c r="F466" s="16"/>
      <c r="G466" s="17" t="s">
        <v>114</v>
      </c>
      <c r="H466" s="17" t="s">
        <v>114</v>
      </c>
      <c r="I466" s="10">
        <f t="shared" si="7"/>
        <v>3</v>
      </c>
      <c r="J466" s="10" t="s">
        <v>124</v>
      </c>
    </row>
    <row r="467" spans="1:10" x14ac:dyDescent="0.35">
      <c r="A467" s="15" t="s">
        <v>228</v>
      </c>
      <c r="B467" s="15" t="s">
        <v>121</v>
      </c>
      <c r="C467" s="16"/>
      <c r="D467" s="16"/>
      <c r="E467" s="17" t="s">
        <v>114</v>
      </c>
      <c r="F467" s="16"/>
      <c r="G467" s="16"/>
      <c r="H467" s="17" t="s">
        <v>114</v>
      </c>
      <c r="I467" s="10">
        <f t="shared" si="7"/>
        <v>2</v>
      </c>
      <c r="J467" s="10" t="s">
        <v>124</v>
      </c>
    </row>
    <row r="468" spans="1:10" x14ac:dyDescent="0.35">
      <c r="A468" s="15" t="s">
        <v>229</v>
      </c>
      <c r="B468" s="15" t="s">
        <v>113</v>
      </c>
      <c r="C468" s="16"/>
      <c r="D468" s="16"/>
      <c r="E468" s="17" t="s">
        <v>114</v>
      </c>
      <c r="F468" s="16"/>
      <c r="G468" s="16"/>
      <c r="H468" s="17" t="s">
        <v>114</v>
      </c>
      <c r="I468" s="10">
        <f t="shared" si="7"/>
        <v>2</v>
      </c>
      <c r="J468" s="10" t="s">
        <v>115</v>
      </c>
    </row>
    <row r="469" spans="1:10" x14ac:dyDescent="0.35">
      <c r="A469" s="15" t="s">
        <v>229</v>
      </c>
      <c r="B469" s="15" t="s">
        <v>116</v>
      </c>
      <c r="C469" s="16"/>
      <c r="D469" s="16"/>
      <c r="E469" s="17" t="s">
        <v>114</v>
      </c>
      <c r="F469" s="16"/>
      <c r="G469" s="16"/>
      <c r="H469" s="17" t="s">
        <v>114</v>
      </c>
      <c r="I469" s="10">
        <f t="shared" si="7"/>
        <v>2</v>
      </c>
      <c r="J469" s="10" t="s">
        <v>115</v>
      </c>
    </row>
    <row r="470" spans="1:10" x14ac:dyDescent="0.35">
      <c r="A470" s="15" t="s">
        <v>229</v>
      </c>
      <c r="B470" s="15" t="s">
        <v>118</v>
      </c>
      <c r="C470" s="16"/>
      <c r="D470" s="16"/>
      <c r="E470" s="17" t="s">
        <v>114</v>
      </c>
      <c r="F470" s="16"/>
      <c r="G470" s="16"/>
      <c r="H470" s="17" t="s">
        <v>114</v>
      </c>
      <c r="I470" s="10">
        <f t="shared" si="7"/>
        <v>2</v>
      </c>
      <c r="J470" s="10" t="s">
        <v>115</v>
      </c>
    </row>
    <row r="471" spans="1:10" x14ac:dyDescent="0.35">
      <c r="A471" s="15" t="s">
        <v>229</v>
      </c>
      <c r="B471" s="15" t="s">
        <v>117</v>
      </c>
      <c r="C471" s="16"/>
      <c r="D471" s="16"/>
      <c r="E471" s="17" t="s">
        <v>114</v>
      </c>
      <c r="F471" s="16"/>
      <c r="G471" s="16"/>
      <c r="H471" s="17" t="s">
        <v>114</v>
      </c>
      <c r="I471" s="10">
        <f t="shared" si="7"/>
        <v>2</v>
      </c>
      <c r="J471" s="10" t="s">
        <v>115</v>
      </c>
    </row>
    <row r="472" spans="1:10" x14ac:dyDescent="0.35">
      <c r="A472" s="15" t="s">
        <v>229</v>
      </c>
      <c r="B472" s="15" t="s">
        <v>230</v>
      </c>
      <c r="C472" s="16"/>
      <c r="D472" s="16"/>
      <c r="E472" s="17" t="s">
        <v>114</v>
      </c>
      <c r="F472" s="16"/>
      <c r="G472" s="16"/>
      <c r="H472" s="17" t="s">
        <v>114</v>
      </c>
      <c r="I472" s="10">
        <f t="shared" si="7"/>
        <v>2</v>
      </c>
      <c r="J472" s="10" t="s">
        <v>115</v>
      </c>
    </row>
    <row r="473" spans="1:10" x14ac:dyDescent="0.35">
      <c r="A473" s="15" t="s">
        <v>229</v>
      </c>
      <c r="B473" s="15" t="s">
        <v>119</v>
      </c>
      <c r="C473" s="16"/>
      <c r="D473" s="16"/>
      <c r="E473" s="17" t="s">
        <v>114</v>
      </c>
      <c r="F473" s="16"/>
      <c r="G473" s="16"/>
      <c r="H473" s="17" t="s">
        <v>114</v>
      </c>
      <c r="I473" s="10">
        <f t="shared" si="7"/>
        <v>2</v>
      </c>
      <c r="J473" s="10" t="s">
        <v>115</v>
      </c>
    </row>
    <row r="474" spans="1:10" x14ac:dyDescent="0.35">
      <c r="A474" s="15" t="s">
        <v>229</v>
      </c>
      <c r="B474" s="15" t="s">
        <v>120</v>
      </c>
      <c r="C474" s="16"/>
      <c r="D474" s="16"/>
      <c r="E474" s="17" t="s">
        <v>114</v>
      </c>
      <c r="F474" s="16"/>
      <c r="G474" s="16"/>
      <c r="H474" s="17" t="s">
        <v>114</v>
      </c>
      <c r="I474" s="10">
        <f t="shared" si="7"/>
        <v>2</v>
      </c>
      <c r="J474" s="10" t="s">
        <v>115</v>
      </c>
    </row>
    <row r="475" spans="1:10" x14ac:dyDescent="0.35">
      <c r="A475" s="15" t="s">
        <v>229</v>
      </c>
      <c r="B475" s="15" t="s">
        <v>121</v>
      </c>
      <c r="C475" s="16"/>
      <c r="D475" s="16"/>
      <c r="E475" s="17" t="s">
        <v>114</v>
      </c>
      <c r="F475" s="16"/>
      <c r="G475" s="16"/>
      <c r="H475" s="17" t="s">
        <v>114</v>
      </c>
      <c r="I475" s="10">
        <f t="shared" si="7"/>
        <v>2</v>
      </c>
      <c r="J475" s="10" t="s">
        <v>115</v>
      </c>
    </row>
  </sheetData>
  <autoFilter ref="A1:J47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54"/>
  <sheetViews>
    <sheetView workbookViewId="0">
      <pane xSplit="2" ySplit="1" topLeftCell="C2" activePane="bottomRight" state="frozen"/>
      <selection pane="topRight"/>
      <selection pane="bottomLeft"/>
      <selection pane="bottomRight"/>
    </sheetView>
  </sheetViews>
  <sheetFormatPr defaultRowHeight="14.5" x14ac:dyDescent="0.35"/>
  <cols>
    <col min="1" max="1" width="46" customWidth="1"/>
    <col min="2" max="2" width="12" customWidth="1"/>
    <col min="3" max="9" width="11" customWidth="1"/>
  </cols>
  <sheetData>
    <row r="1" spans="1:9" ht="30" customHeight="1" x14ac:dyDescent="0.35">
      <c r="A1" s="7" t="s">
        <v>109</v>
      </c>
      <c r="B1" s="7" t="s">
        <v>231</v>
      </c>
      <c r="C1" s="7" t="s">
        <v>91</v>
      </c>
      <c r="D1" s="7" t="s">
        <v>92</v>
      </c>
      <c r="E1" s="7" t="s">
        <v>93</v>
      </c>
      <c r="F1" s="7" t="s">
        <v>94</v>
      </c>
      <c r="G1" s="7" t="s">
        <v>95</v>
      </c>
      <c r="H1" s="7" t="s">
        <v>96</v>
      </c>
      <c r="I1" s="7" t="s">
        <v>110</v>
      </c>
    </row>
    <row r="2" spans="1:9" x14ac:dyDescent="0.35">
      <c r="A2" s="15" t="s">
        <v>232</v>
      </c>
      <c r="B2" s="15" t="s">
        <v>233</v>
      </c>
      <c r="C2" s="16"/>
      <c r="D2" s="16"/>
      <c r="E2" s="16"/>
      <c r="F2" s="16"/>
      <c r="G2" s="16"/>
      <c r="H2" s="17" t="s">
        <v>114</v>
      </c>
      <c r="I2" s="10">
        <f t="shared" ref="I2:I33" si="0">COUNTIF(C2:H2,"✓")</f>
        <v>1</v>
      </c>
    </row>
    <row r="3" spans="1:9" x14ac:dyDescent="0.35">
      <c r="A3" s="15" t="s">
        <v>234</v>
      </c>
      <c r="B3" s="15" t="s">
        <v>235</v>
      </c>
      <c r="C3" s="16"/>
      <c r="D3" s="16"/>
      <c r="E3" s="16"/>
      <c r="F3" s="16"/>
      <c r="G3" s="16"/>
      <c r="H3" s="17" t="s">
        <v>114</v>
      </c>
      <c r="I3" s="10">
        <f t="shared" si="0"/>
        <v>1</v>
      </c>
    </row>
    <row r="4" spans="1:9" x14ac:dyDescent="0.35">
      <c r="A4" s="15" t="s">
        <v>236</v>
      </c>
      <c r="B4" s="15" t="s">
        <v>235</v>
      </c>
      <c r="C4" s="16"/>
      <c r="D4" s="16"/>
      <c r="E4" s="16"/>
      <c r="F4" s="16"/>
      <c r="G4" s="16"/>
      <c r="H4" s="17" t="s">
        <v>114</v>
      </c>
      <c r="I4" s="10">
        <f t="shared" si="0"/>
        <v>1</v>
      </c>
    </row>
    <row r="5" spans="1:9" x14ac:dyDescent="0.35">
      <c r="A5" s="15" t="s">
        <v>237</v>
      </c>
      <c r="B5" s="15" t="s">
        <v>235</v>
      </c>
      <c r="C5" s="16"/>
      <c r="D5" s="16"/>
      <c r="E5" s="16"/>
      <c r="F5" s="16"/>
      <c r="G5" s="16"/>
      <c r="H5" s="17" t="s">
        <v>114</v>
      </c>
      <c r="I5" s="10">
        <f t="shared" si="0"/>
        <v>1</v>
      </c>
    </row>
    <row r="6" spans="1:9" x14ac:dyDescent="0.35">
      <c r="A6" s="15" t="s">
        <v>238</v>
      </c>
      <c r="B6" s="15" t="s">
        <v>235</v>
      </c>
      <c r="C6" s="16"/>
      <c r="D6" s="16"/>
      <c r="E6" s="16"/>
      <c r="F6" s="16"/>
      <c r="G6" s="16"/>
      <c r="H6" s="17" t="s">
        <v>114</v>
      </c>
      <c r="I6" s="10">
        <f t="shared" si="0"/>
        <v>1</v>
      </c>
    </row>
    <row r="7" spans="1:9" x14ac:dyDescent="0.35">
      <c r="A7" s="15" t="s">
        <v>239</v>
      </c>
      <c r="B7" s="15" t="s">
        <v>235</v>
      </c>
      <c r="C7" s="16"/>
      <c r="D7" s="16"/>
      <c r="E7" s="16"/>
      <c r="F7" s="16"/>
      <c r="G7" s="16"/>
      <c r="H7" s="17" t="s">
        <v>114</v>
      </c>
      <c r="I7" s="10">
        <f t="shared" si="0"/>
        <v>1</v>
      </c>
    </row>
    <row r="8" spans="1:9" x14ac:dyDescent="0.35">
      <c r="A8" s="15" t="s">
        <v>240</v>
      </c>
      <c r="B8" s="15" t="s">
        <v>235</v>
      </c>
      <c r="C8" s="16"/>
      <c r="D8" s="16"/>
      <c r="E8" s="16"/>
      <c r="F8" s="16"/>
      <c r="G8" s="16"/>
      <c r="H8" s="17" t="s">
        <v>114</v>
      </c>
      <c r="I8" s="10">
        <f t="shared" si="0"/>
        <v>1</v>
      </c>
    </row>
    <row r="9" spans="1:9" x14ac:dyDescent="0.35">
      <c r="A9" s="15" t="s">
        <v>241</v>
      </c>
      <c r="B9" s="15" t="s">
        <v>235</v>
      </c>
      <c r="C9" s="16"/>
      <c r="D9" s="16"/>
      <c r="E9" s="16"/>
      <c r="F9" s="16"/>
      <c r="G9" s="16"/>
      <c r="H9" s="17" t="s">
        <v>114</v>
      </c>
      <c r="I9" s="10">
        <f t="shared" si="0"/>
        <v>1</v>
      </c>
    </row>
    <row r="10" spans="1:9" x14ac:dyDescent="0.35">
      <c r="A10" s="15" t="s">
        <v>242</v>
      </c>
      <c r="B10" s="15" t="s">
        <v>235</v>
      </c>
      <c r="C10" s="16"/>
      <c r="D10" s="16"/>
      <c r="E10" s="16"/>
      <c r="F10" s="16"/>
      <c r="G10" s="16"/>
      <c r="H10" s="17" t="s">
        <v>114</v>
      </c>
      <c r="I10" s="10">
        <f t="shared" si="0"/>
        <v>1</v>
      </c>
    </row>
    <row r="11" spans="1:9" x14ac:dyDescent="0.35">
      <c r="A11" s="15" t="s">
        <v>243</v>
      </c>
      <c r="B11" s="15" t="s">
        <v>235</v>
      </c>
      <c r="C11" s="16"/>
      <c r="D11" s="16"/>
      <c r="E11" s="16"/>
      <c r="F11" s="16"/>
      <c r="G11" s="16"/>
      <c r="H11" s="17" t="s">
        <v>114</v>
      </c>
      <c r="I11" s="10">
        <f t="shared" si="0"/>
        <v>1</v>
      </c>
    </row>
    <row r="12" spans="1:9" x14ac:dyDescent="0.35">
      <c r="A12" s="15" t="s">
        <v>244</v>
      </c>
      <c r="B12" s="15" t="s">
        <v>235</v>
      </c>
      <c r="C12" s="16"/>
      <c r="D12" s="16"/>
      <c r="E12" s="16"/>
      <c r="F12" s="16"/>
      <c r="G12" s="16"/>
      <c r="H12" s="17" t="s">
        <v>114</v>
      </c>
      <c r="I12" s="10">
        <f t="shared" si="0"/>
        <v>1</v>
      </c>
    </row>
    <row r="13" spans="1:9" x14ac:dyDescent="0.35">
      <c r="A13" s="15" t="s">
        <v>245</v>
      </c>
      <c r="B13" s="15" t="s">
        <v>235</v>
      </c>
      <c r="C13" s="16"/>
      <c r="D13" s="16"/>
      <c r="E13" s="16"/>
      <c r="F13" s="16"/>
      <c r="G13" s="16"/>
      <c r="H13" s="17" t="s">
        <v>114</v>
      </c>
      <c r="I13" s="10">
        <f t="shared" si="0"/>
        <v>1</v>
      </c>
    </row>
    <row r="14" spans="1:9" x14ac:dyDescent="0.35">
      <c r="A14" s="15" t="s">
        <v>246</v>
      </c>
      <c r="B14" s="15" t="s">
        <v>235</v>
      </c>
      <c r="C14" s="16"/>
      <c r="D14" s="16"/>
      <c r="E14" s="16"/>
      <c r="F14" s="16"/>
      <c r="G14" s="16"/>
      <c r="H14" s="17" t="s">
        <v>114</v>
      </c>
      <c r="I14" s="10">
        <f t="shared" si="0"/>
        <v>1</v>
      </c>
    </row>
    <row r="15" spans="1:9" x14ac:dyDescent="0.35">
      <c r="A15" s="15" t="s">
        <v>247</v>
      </c>
      <c r="B15" s="15" t="s">
        <v>235</v>
      </c>
      <c r="C15" s="16"/>
      <c r="D15" s="16"/>
      <c r="E15" s="16"/>
      <c r="F15" s="16"/>
      <c r="G15" s="16"/>
      <c r="H15" s="17" t="s">
        <v>114</v>
      </c>
      <c r="I15" s="10">
        <f t="shared" si="0"/>
        <v>1</v>
      </c>
    </row>
    <row r="16" spans="1:9" x14ac:dyDescent="0.35">
      <c r="A16" s="15" t="s">
        <v>248</v>
      </c>
      <c r="B16" s="15" t="s">
        <v>233</v>
      </c>
      <c r="C16" s="16"/>
      <c r="D16" s="17" t="s">
        <v>114</v>
      </c>
      <c r="E16" s="17" t="s">
        <v>114</v>
      </c>
      <c r="F16" s="17" t="s">
        <v>114</v>
      </c>
      <c r="G16" s="17" t="s">
        <v>114</v>
      </c>
      <c r="H16" s="17" t="s">
        <v>114</v>
      </c>
      <c r="I16" s="10">
        <f t="shared" si="0"/>
        <v>5</v>
      </c>
    </row>
    <row r="17" spans="1:9" x14ac:dyDescent="0.35">
      <c r="A17" s="15" t="s">
        <v>249</v>
      </c>
      <c r="B17" s="15" t="s">
        <v>233</v>
      </c>
      <c r="C17" s="16"/>
      <c r="D17" s="17" t="s">
        <v>114</v>
      </c>
      <c r="E17" s="17" t="s">
        <v>114</v>
      </c>
      <c r="F17" s="17" t="s">
        <v>114</v>
      </c>
      <c r="G17" s="17" t="s">
        <v>114</v>
      </c>
      <c r="H17" s="17" t="s">
        <v>114</v>
      </c>
      <c r="I17" s="10">
        <f t="shared" si="0"/>
        <v>5</v>
      </c>
    </row>
    <row r="18" spans="1:9" x14ac:dyDescent="0.35">
      <c r="A18" s="15" t="s">
        <v>250</v>
      </c>
      <c r="B18" s="15" t="s">
        <v>233</v>
      </c>
      <c r="C18" s="16"/>
      <c r="D18" s="17" t="s">
        <v>114</v>
      </c>
      <c r="E18" s="17" t="s">
        <v>114</v>
      </c>
      <c r="F18" s="17" t="s">
        <v>114</v>
      </c>
      <c r="G18" s="17" t="s">
        <v>114</v>
      </c>
      <c r="H18" s="17" t="s">
        <v>114</v>
      </c>
      <c r="I18" s="10">
        <f t="shared" si="0"/>
        <v>5</v>
      </c>
    </row>
    <row r="19" spans="1:9" x14ac:dyDescent="0.35">
      <c r="A19" s="15" t="s">
        <v>251</v>
      </c>
      <c r="B19" s="15" t="s">
        <v>235</v>
      </c>
      <c r="C19" s="16"/>
      <c r="D19" s="17" t="s">
        <v>114</v>
      </c>
      <c r="E19" s="17" t="s">
        <v>114</v>
      </c>
      <c r="F19" s="17" t="s">
        <v>114</v>
      </c>
      <c r="G19" s="17" t="s">
        <v>114</v>
      </c>
      <c r="H19" s="17" t="s">
        <v>114</v>
      </c>
      <c r="I19" s="10">
        <f t="shared" si="0"/>
        <v>5</v>
      </c>
    </row>
    <row r="20" spans="1:9" x14ac:dyDescent="0.35">
      <c r="A20" s="15" t="s">
        <v>252</v>
      </c>
      <c r="B20" s="15" t="s">
        <v>235</v>
      </c>
      <c r="C20" s="16"/>
      <c r="D20" s="16"/>
      <c r="E20" s="17" t="s">
        <v>114</v>
      </c>
      <c r="F20" s="16"/>
      <c r="G20" s="17" t="s">
        <v>114</v>
      </c>
      <c r="H20" s="17" t="s">
        <v>114</v>
      </c>
      <c r="I20" s="10">
        <f t="shared" si="0"/>
        <v>3</v>
      </c>
    </row>
    <row r="21" spans="1:9" x14ac:dyDescent="0.35">
      <c r="A21" s="15" t="s">
        <v>253</v>
      </c>
      <c r="B21" s="15" t="s">
        <v>235</v>
      </c>
      <c r="C21" s="16"/>
      <c r="D21" s="16"/>
      <c r="E21" s="17" t="s">
        <v>114</v>
      </c>
      <c r="F21" s="16"/>
      <c r="G21" s="16"/>
      <c r="H21" s="17" t="s">
        <v>114</v>
      </c>
      <c r="I21" s="10">
        <f t="shared" si="0"/>
        <v>2</v>
      </c>
    </row>
    <row r="22" spans="1:9" x14ac:dyDescent="0.35">
      <c r="A22" s="15" t="s">
        <v>254</v>
      </c>
      <c r="B22" s="15" t="s">
        <v>235</v>
      </c>
      <c r="C22" s="16"/>
      <c r="D22" s="16"/>
      <c r="E22" s="17" t="s">
        <v>114</v>
      </c>
      <c r="F22" s="16"/>
      <c r="G22" s="16"/>
      <c r="H22" s="17" t="s">
        <v>114</v>
      </c>
      <c r="I22" s="10">
        <f t="shared" si="0"/>
        <v>2</v>
      </c>
    </row>
    <row r="23" spans="1:9" x14ac:dyDescent="0.35">
      <c r="A23" s="15" t="s">
        <v>255</v>
      </c>
      <c r="B23" s="15" t="s">
        <v>235</v>
      </c>
      <c r="C23" s="17" t="s">
        <v>114</v>
      </c>
      <c r="D23" s="17" t="s">
        <v>114</v>
      </c>
      <c r="E23" s="17" t="s">
        <v>114</v>
      </c>
      <c r="F23" s="16"/>
      <c r="G23" s="17" t="s">
        <v>114</v>
      </c>
      <c r="H23" s="17" t="s">
        <v>114</v>
      </c>
      <c r="I23" s="10">
        <f t="shared" si="0"/>
        <v>5</v>
      </c>
    </row>
    <row r="24" spans="1:9" x14ac:dyDescent="0.35">
      <c r="A24" s="15" t="s">
        <v>256</v>
      </c>
      <c r="B24" s="15" t="s">
        <v>235</v>
      </c>
      <c r="C24" s="16"/>
      <c r="D24" s="17" t="s">
        <v>114</v>
      </c>
      <c r="E24" s="17" t="s">
        <v>114</v>
      </c>
      <c r="F24" s="17" t="s">
        <v>114</v>
      </c>
      <c r="G24" s="17" t="s">
        <v>114</v>
      </c>
      <c r="H24" s="17" t="s">
        <v>114</v>
      </c>
      <c r="I24" s="10">
        <f t="shared" si="0"/>
        <v>5</v>
      </c>
    </row>
    <row r="25" spans="1:9" x14ac:dyDescent="0.35">
      <c r="A25" s="15" t="s">
        <v>257</v>
      </c>
      <c r="B25" s="15" t="s">
        <v>235</v>
      </c>
      <c r="C25" s="16"/>
      <c r="D25" s="17" t="s">
        <v>114</v>
      </c>
      <c r="E25" s="17" t="s">
        <v>114</v>
      </c>
      <c r="F25" s="17" t="s">
        <v>114</v>
      </c>
      <c r="G25" s="17" t="s">
        <v>114</v>
      </c>
      <c r="H25" s="17" t="s">
        <v>114</v>
      </c>
      <c r="I25" s="10">
        <f t="shared" si="0"/>
        <v>5</v>
      </c>
    </row>
    <row r="26" spans="1:9" x14ac:dyDescent="0.35">
      <c r="A26" s="15" t="s">
        <v>258</v>
      </c>
      <c r="B26" s="15" t="s">
        <v>233</v>
      </c>
      <c r="C26" s="16"/>
      <c r="D26" s="16"/>
      <c r="E26" s="17" t="s">
        <v>114</v>
      </c>
      <c r="F26" s="16"/>
      <c r="G26" s="16"/>
      <c r="H26" s="17" t="s">
        <v>114</v>
      </c>
      <c r="I26" s="10">
        <f t="shared" si="0"/>
        <v>2</v>
      </c>
    </row>
    <row r="27" spans="1:9" x14ac:dyDescent="0.35">
      <c r="A27" s="15" t="s">
        <v>259</v>
      </c>
      <c r="B27" s="15" t="s">
        <v>235</v>
      </c>
      <c r="C27" s="16"/>
      <c r="D27" s="16"/>
      <c r="E27" s="17" t="s">
        <v>114</v>
      </c>
      <c r="F27" s="16"/>
      <c r="G27" s="16"/>
      <c r="H27" s="17" t="s">
        <v>114</v>
      </c>
      <c r="I27" s="10">
        <f t="shared" si="0"/>
        <v>2</v>
      </c>
    </row>
    <row r="28" spans="1:9" x14ac:dyDescent="0.35">
      <c r="A28" s="15" t="s">
        <v>260</v>
      </c>
      <c r="B28" s="15" t="s">
        <v>235</v>
      </c>
      <c r="C28" s="16"/>
      <c r="D28" s="16"/>
      <c r="E28" s="17" t="s">
        <v>114</v>
      </c>
      <c r="F28" s="16"/>
      <c r="G28" s="16"/>
      <c r="H28" s="17" t="s">
        <v>114</v>
      </c>
      <c r="I28" s="10">
        <f t="shared" si="0"/>
        <v>2</v>
      </c>
    </row>
    <row r="29" spans="1:9" x14ac:dyDescent="0.35">
      <c r="A29" s="15" t="s">
        <v>261</v>
      </c>
      <c r="B29" s="15" t="s">
        <v>235</v>
      </c>
      <c r="C29" s="16"/>
      <c r="D29" s="16"/>
      <c r="E29" s="17" t="s">
        <v>114</v>
      </c>
      <c r="F29" s="16"/>
      <c r="G29" s="16"/>
      <c r="H29" s="17" t="s">
        <v>114</v>
      </c>
      <c r="I29" s="10">
        <f t="shared" si="0"/>
        <v>2</v>
      </c>
    </row>
    <row r="30" spans="1:9" x14ac:dyDescent="0.35">
      <c r="A30" s="15" t="s">
        <v>262</v>
      </c>
      <c r="B30" s="15" t="s">
        <v>235</v>
      </c>
      <c r="C30" s="16"/>
      <c r="D30" s="16"/>
      <c r="E30" s="17" t="s">
        <v>114</v>
      </c>
      <c r="F30" s="16"/>
      <c r="G30" s="16"/>
      <c r="H30" s="17" t="s">
        <v>114</v>
      </c>
      <c r="I30" s="10">
        <f t="shared" si="0"/>
        <v>2</v>
      </c>
    </row>
    <row r="31" spans="1:9" x14ac:dyDescent="0.35">
      <c r="A31" s="15" t="s">
        <v>263</v>
      </c>
      <c r="B31" s="15" t="s">
        <v>233</v>
      </c>
      <c r="C31" s="16"/>
      <c r="D31" s="17" t="s">
        <v>114</v>
      </c>
      <c r="E31" s="17" t="s">
        <v>114</v>
      </c>
      <c r="F31" s="17" t="s">
        <v>114</v>
      </c>
      <c r="G31" s="17" t="s">
        <v>114</v>
      </c>
      <c r="H31" s="17" t="s">
        <v>114</v>
      </c>
      <c r="I31" s="10">
        <f t="shared" si="0"/>
        <v>5</v>
      </c>
    </row>
    <row r="32" spans="1:9" x14ac:dyDescent="0.35">
      <c r="A32" s="15" t="s">
        <v>264</v>
      </c>
      <c r="B32" s="15" t="s">
        <v>235</v>
      </c>
      <c r="C32" s="16"/>
      <c r="D32" s="17" t="s">
        <v>114</v>
      </c>
      <c r="E32" s="17" t="s">
        <v>114</v>
      </c>
      <c r="F32" s="17" t="s">
        <v>114</v>
      </c>
      <c r="G32" s="17" t="s">
        <v>114</v>
      </c>
      <c r="H32" s="17" t="s">
        <v>114</v>
      </c>
      <c r="I32" s="10">
        <f t="shared" si="0"/>
        <v>5</v>
      </c>
    </row>
    <row r="33" spans="1:9" x14ac:dyDescent="0.35">
      <c r="A33" s="15" t="s">
        <v>265</v>
      </c>
      <c r="B33" s="15" t="s">
        <v>235</v>
      </c>
      <c r="C33" s="16"/>
      <c r="D33" s="17" t="s">
        <v>114</v>
      </c>
      <c r="E33" s="17" t="s">
        <v>114</v>
      </c>
      <c r="F33" s="17" t="s">
        <v>114</v>
      </c>
      <c r="G33" s="17" t="s">
        <v>114</v>
      </c>
      <c r="H33" s="17" t="s">
        <v>114</v>
      </c>
      <c r="I33" s="10">
        <f t="shared" si="0"/>
        <v>5</v>
      </c>
    </row>
    <row r="34" spans="1:9" x14ac:dyDescent="0.35">
      <c r="A34" s="15" t="s">
        <v>266</v>
      </c>
      <c r="B34" s="15" t="s">
        <v>235</v>
      </c>
      <c r="C34" s="16"/>
      <c r="D34" s="17" t="s">
        <v>114</v>
      </c>
      <c r="E34" s="17" t="s">
        <v>114</v>
      </c>
      <c r="F34" s="17" t="s">
        <v>114</v>
      </c>
      <c r="G34" s="17" t="s">
        <v>114</v>
      </c>
      <c r="H34" s="17" t="s">
        <v>114</v>
      </c>
      <c r="I34" s="10">
        <f t="shared" ref="I34:I65" si="1">COUNTIF(C34:H34,"✓")</f>
        <v>5</v>
      </c>
    </row>
    <row r="35" spans="1:9" x14ac:dyDescent="0.35">
      <c r="A35" s="15" t="s">
        <v>267</v>
      </c>
      <c r="B35" s="15" t="s">
        <v>235</v>
      </c>
      <c r="C35" s="16"/>
      <c r="D35" s="17" t="s">
        <v>114</v>
      </c>
      <c r="E35" s="17" t="s">
        <v>114</v>
      </c>
      <c r="F35" s="17" t="s">
        <v>114</v>
      </c>
      <c r="G35" s="17" t="s">
        <v>114</v>
      </c>
      <c r="H35" s="17" t="s">
        <v>114</v>
      </c>
      <c r="I35" s="10">
        <f t="shared" si="1"/>
        <v>5</v>
      </c>
    </row>
    <row r="36" spans="1:9" x14ac:dyDescent="0.35">
      <c r="A36" s="15" t="s">
        <v>268</v>
      </c>
      <c r="B36" s="15" t="s">
        <v>233</v>
      </c>
      <c r="C36" s="16"/>
      <c r="D36" s="16"/>
      <c r="E36" s="17" t="s">
        <v>114</v>
      </c>
      <c r="F36" s="16"/>
      <c r="G36" s="16"/>
      <c r="H36" s="17" t="s">
        <v>114</v>
      </c>
      <c r="I36" s="10">
        <f t="shared" si="1"/>
        <v>2</v>
      </c>
    </row>
    <row r="37" spans="1:9" x14ac:dyDescent="0.35">
      <c r="A37" s="15" t="s">
        <v>269</v>
      </c>
      <c r="B37" s="15" t="s">
        <v>235</v>
      </c>
      <c r="C37" s="16"/>
      <c r="D37" s="16"/>
      <c r="E37" s="17" t="s">
        <v>114</v>
      </c>
      <c r="F37" s="16"/>
      <c r="G37" s="16"/>
      <c r="H37" s="17" t="s">
        <v>114</v>
      </c>
      <c r="I37" s="10">
        <f t="shared" si="1"/>
        <v>2</v>
      </c>
    </row>
    <row r="38" spans="1:9" x14ac:dyDescent="0.35">
      <c r="A38" s="15" t="s">
        <v>270</v>
      </c>
      <c r="B38" s="15" t="s">
        <v>235</v>
      </c>
      <c r="C38" s="16"/>
      <c r="D38" s="16"/>
      <c r="E38" s="17" t="s">
        <v>114</v>
      </c>
      <c r="F38" s="16"/>
      <c r="G38" s="16"/>
      <c r="H38" s="17" t="s">
        <v>114</v>
      </c>
      <c r="I38" s="10">
        <f t="shared" si="1"/>
        <v>2</v>
      </c>
    </row>
    <row r="39" spans="1:9" x14ac:dyDescent="0.35">
      <c r="A39" s="15" t="s">
        <v>271</v>
      </c>
      <c r="B39" s="15" t="s">
        <v>235</v>
      </c>
      <c r="C39" s="16"/>
      <c r="D39" s="16"/>
      <c r="E39" s="17" t="s">
        <v>114</v>
      </c>
      <c r="F39" s="16"/>
      <c r="G39" s="16"/>
      <c r="H39" s="17" t="s">
        <v>114</v>
      </c>
      <c r="I39" s="10">
        <f t="shared" si="1"/>
        <v>2</v>
      </c>
    </row>
    <row r="40" spans="1:9" x14ac:dyDescent="0.35">
      <c r="A40" s="15" t="s">
        <v>272</v>
      </c>
      <c r="B40" s="15" t="s">
        <v>235</v>
      </c>
      <c r="C40" s="16"/>
      <c r="D40" s="16"/>
      <c r="E40" s="17" t="s">
        <v>114</v>
      </c>
      <c r="F40" s="16"/>
      <c r="G40" s="16"/>
      <c r="H40" s="17" t="s">
        <v>114</v>
      </c>
      <c r="I40" s="10">
        <f t="shared" si="1"/>
        <v>2</v>
      </c>
    </row>
    <row r="41" spans="1:9" x14ac:dyDescent="0.35">
      <c r="A41" s="15" t="s">
        <v>273</v>
      </c>
      <c r="B41" s="15" t="s">
        <v>233</v>
      </c>
      <c r="C41" s="16"/>
      <c r="D41" s="17" t="s">
        <v>114</v>
      </c>
      <c r="E41" s="17" t="s">
        <v>114</v>
      </c>
      <c r="F41" s="16"/>
      <c r="G41" s="16"/>
      <c r="H41" s="17" t="s">
        <v>114</v>
      </c>
      <c r="I41" s="10">
        <f t="shared" si="1"/>
        <v>3</v>
      </c>
    </row>
    <row r="42" spans="1:9" x14ac:dyDescent="0.35">
      <c r="A42" s="15" t="s">
        <v>274</v>
      </c>
      <c r="B42" s="15" t="s">
        <v>235</v>
      </c>
      <c r="C42" s="16"/>
      <c r="D42" s="17" t="s">
        <v>114</v>
      </c>
      <c r="E42" s="17" t="s">
        <v>114</v>
      </c>
      <c r="F42" s="16"/>
      <c r="G42" s="16"/>
      <c r="H42" s="17" t="s">
        <v>114</v>
      </c>
      <c r="I42" s="10">
        <f t="shared" si="1"/>
        <v>3</v>
      </c>
    </row>
    <row r="43" spans="1:9" x14ac:dyDescent="0.35">
      <c r="A43" s="15" t="s">
        <v>275</v>
      </c>
      <c r="B43" s="15" t="s">
        <v>235</v>
      </c>
      <c r="C43" s="16"/>
      <c r="D43" s="17" t="s">
        <v>114</v>
      </c>
      <c r="E43" s="17" t="s">
        <v>114</v>
      </c>
      <c r="F43" s="16"/>
      <c r="G43" s="16"/>
      <c r="H43" s="17" t="s">
        <v>114</v>
      </c>
      <c r="I43" s="10">
        <f t="shared" si="1"/>
        <v>3</v>
      </c>
    </row>
    <row r="44" spans="1:9" x14ac:dyDescent="0.35">
      <c r="A44" s="15" t="s">
        <v>276</v>
      </c>
      <c r="B44" s="15" t="s">
        <v>235</v>
      </c>
      <c r="C44" s="16"/>
      <c r="D44" s="17" t="s">
        <v>114</v>
      </c>
      <c r="E44" s="17" t="s">
        <v>114</v>
      </c>
      <c r="F44" s="16"/>
      <c r="G44" s="16"/>
      <c r="H44" s="17" t="s">
        <v>114</v>
      </c>
      <c r="I44" s="10">
        <f t="shared" si="1"/>
        <v>3</v>
      </c>
    </row>
    <row r="45" spans="1:9" x14ac:dyDescent="0.35">
      <c r="A45" s="15" t="s">
        <v>277</v>
      </c>
      <c r="B45" s="15" t="s">
        <v>235</v>
      </c>
      <c r="C45" s="16"/>
      <c r="D45" s="16"/>
      <c r="E45" s="17" t="s">
        <v>114</v>
      </c>
      <c r="F45" s="16"/>
      <c r="G45" s="16"/>
      <c r="H45" s="17" t="s">
        <v>114</v>
      </c>
      <c r="I45" s="10">
        <f t="shared" si="1"/>
        <v>2</v>
      </c>
    </row>
    <row r="46" spans="1:9" x14ac:dyDescent="0.35">
      <c r="A46" s="15" t="s">
        <v>278</v>
      </c>
      <c r="B46" s="15" t="s">
        <v>235</v>
      </c>
      <c r="C46" s="16"/>
      <c r="D46" s="17" t="s">
        <v>114</v>
      </c>
      <c r="E46" s="17" t="s">
        <v>114</v>
      </c>
      <c r="F46" s="16"/>
      <c r="G46" s="16"/>
      <c r="H46" s="17" t="s">
        <v>114</v>
      </c>
      <c r="I46" s="10">
        <f t="shared" si="1"/>
        <v>3</v>
      </c>
    </row>
    <row r="47" spans="1:9" x14ac:dyDescent="0.35">
      <c r="A47" s="15" t="s">
        <v>279</v>
      </c>
      <c r="B47" s="15" t="s">
        <v>235</v>
      </c>
      <c r="C47" s="16"/>
      <c r="D47" s="17" t="s">
        <v>114</v>
      </c>
      <c r="E47" s="17" t="s">
        <v>114</v>
      </c>
      <c r="F47" s="16"/>
      <c r="G47" s="16"/>
      <c r="H47" s="17" t="s">
        <v>114</v>
      </c>
      <c r="I47" s="10">
        <f t="shared" si="1"/>
        <v>3</v>
      </c>
    </row>
    <row r="48" spans="1:9" x14ac:dyDescent="0.35">
      <c r="A48" s="15" t="s">
        <v>280</v>
      </c>
      <c r="B48" s="15" t="s">
        <v>233</v>
      </c>
      <c r="C48" s="16"/>
      <c r="D48" s="17" t="s">
        <v>114</v>
      </c>
      <c r="E48" s="16"/>
      <c r="F48" s="17" t="s">
        <v>114</v>
      </c>
      <c r="G48" s="16"/>
      <c r="H48" s="17" t="s">
        <v>114</v>
      </c>
      <c r="I48" s="10">
        <f t="shared" si="1"/>
        <v>3</v>
      </c>
    </row>
    <row r="49" spans="1:9" x14ac:dyDescent="0.35">
      <c r="A49" s="15" t="s">
        <v>281</v>
      </c>
      <c r="B49" s="15" t="s">
        <v>235</v>
      </c>
      <c r="C49" s="16"/>
      <c r="D49" s="17" t="s">
        <v>114</v>
      </c>
      <c r="E49" s="16"/>
      <c r="F49" s="17" t="s">
        <v>114</v>
      </c>
      <c r="G49" s="16"/>
      <c r="H49" s="17" t="s">
        <v>114</v>
      </c>
      <c r="I49" s="10">
        <f t="shared" si="1"/>
        <v>3</v>
      </c>
    </row>
    <row r="50" spans="1:9" x14ac:dyDescent="0.35">
      <c r="A50" s="15" t="s">
        <v>282</v>
      </c>
      <c r="B50" s="15" t="s">
        <v>235</v>
      </c>
      <c r="C50" s="16"/>
      <c r="D50" s="17" t="s">
        <v>114</v>
      </c>
      <c r="E50" s="16"/>
      <c r="F50" s="17" t="s">
        <v>114</v>
      </c>
      <c r="G50" s="16"/>
      <c r="H50" s="17" t="s">
        <v>114</v>
      </c>
      <c r="I50" s="10">
        <f t="shared" si="1"/>
        <v>3</v>
      </c>
    </row>
    <row r="51" spans="1:9" x14ac:dyDescent="0.35">
      <c r="A51" s="15" t="s">
        <v>283</v>
      </c>
      <c r="B51" s="15" t="s">
        <v>235</v>
      </c>
      <c r="C51" s="16"/>
      <c r="D51" s="17" t="s">
        <v>114</v>
      </c>
      <c r="E51" s="16"/>
      <c r="F51" s="17" t="s">
        <v>114</v>
      </c>
      <c r="G51" s="16"/>
      <c r="H51" s="17" t="s">
        <v>114</v>
      </c>
      <c r="I51" s="10">
        <f t="shared" si="1"/>
        <v>3</v>
      </c>
    </row>
    <row r="52" spans="1:9" x14ac:dyDescent="0.35">
      <c r="A52" s="15" t="s">
        <v>284</v>
      </c>
      <c r="B52" s="15" t="s">
        <v>235</v>
      </c>
      <c r="C52" s="16"/>
      <c r="D52" s="16"/>
      <c r="E52" s="16"/>
      <c r="F52" s="16"/>
      <c r="G52" s="16"/>
      <c r="H52" s="17" t="s">
        <v>114</v>
      </c>
      <c r="I52" s="10">
        <f t="shared" si="1"/>
        <v>1</v>
      </c>
    </row>
    <row r="53" spans="1:9" x14ac:dyDescent="0.35">
      <c r="A53" s="15" t="s">
        <v>285</v>
      </c>
      <c r="B53" s="15" t="s">
        <v>233</v>
      </c>
      <c r="C53" s="16"/>
      <c r="D53" s="16"/>
      <c r="E53" s="17" t="s">
        <v>114</v>
      </c>
      <c r="F53" s="16"/>
      <c r="G53" s="16"/>
      <c r="H53" s="17" t="s">
        <v>114</v>
      </c>
      <c r="I53" s="10">
        <f t="shared" si="1"/>
        <v>2</v>
      </c>
    </row>
    <row r="54" spans="1:9" x14ac:dyDescent="0.35">
      <c r="A54" s="15" t="s">
        <v>286</v>
      </c>
      <c r="B54" s="15" t="s">
        <v>235</v>
      </c>
      <c r="C54" s="16"/>
      <c r="D54" s="16"/>
      <c r="E54" s="17" t="s">
        <v>114</v>
      </c>
      <c r="F54" s="16"/>
      <c r="G54" s="16"/>
      <c r="H54" s="17" t="s">
        <v>114</v>
      </c>
      <c r="I54" s="10">
        <f t="shared" si="1"/>
        <v>2</v>
      </c>
    </row>
  </sheetData>
  <autoFilter ref="A1:I54"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4"/>
  <sheetViews>
    <sheetView workbookViewId="0">
      <pane xSplit="2" ySplit="1" topLeftCell="C2" activePane="bottomRight" state="frozen"/>
      <selection pane="topRight"/>
      <selection pane="bottomLeft"/>
      <selection pane="bottomRight"/>
    </sheetView>
  </sheetViews>
  <sheetFormatPr defaultRowHeight="14.5" x14ac:dyDescent="0.35"/>
  <cols>
    <col min="1" max="1" width="24" customWidth="1"/>
    <col min="2" max="2" width="34" customWidth="1"/>
    <col min="3" max="9" width="11" customWidth="1"/>
  </cols>
  <sheetData>
    <row r="1" spans="1:9" ht="30" customHeight="1" x14ac:dyDescent="0.35">
      <c r="A1" s="7" t="s">
        <v>287</v>
      </c>
      <c r="B1" s="7" t="s">
        <v>109</v>
      </c>
      <c r="C1" s="7" t="s">
        <v>91</v>
      </c>
      <c r="D1" s="7" t="s">
        <v>92</v>
      </c>
      <c r="E1" s="7" t="s">
        <v>93</v>
      </c>
      <c r="F1" s="7" t="s">
        <v>94</v>
      </c>
      <c r="G1" s="7" t="s">
        <v>95</v>
      </c>
      <c r="H1" s="7" t="s">
        <v>96</v>
      </c>
      <c r="I1" s="7" t="s">
        <v>110</v>
      </c>
    </row>
    <row r="2" spans="1:9" x14ac:dyDescent="0.35">
      <c r="A2" s="15" t="s">
        <v>288</v>
      </c>
      <c r="B2" s="15" t="s">
        <v>289</v>
      </c>
      <c r="C2" s="16"/>
      <c r="D2" s="17" t="s">
        <v>114</v>
      </c>
      <c r="E2" s="16"/>
      <c r="F2" s="17" t="s">
        <v>114</v>
      </c>
      <c r="G2" s="16"/>
      <c r="H2" s="17" t="s">
        <v>114</v>
      </c>
      <c r="I2" s="10">
        <f t="shared" ref="I2:I14" si="0">COUNTIF(C2:H2,"✓")</f>
        <v>3</v>
      </c>
    </row>
    <row r="3" spans="1:9" x14ac:dyDescent="0.35">
      <c r="A3" s="15" t="s">
        <v>288</v>
      </c>
      <c r="B3" s="15" t="s">
        <v>290</v>
      </c>
      <c r="C3" s="16"/>
      <c r="D3" s="17" t="s">
        <v>114</v>
      </c>
      <c r="E3" s="16"/>
      <c r="F3" s="17" t="s">
        <v>114</v>
      </c>
      <c r="G3" s="16"/>
      <c r="H3" s="17" t="s">
        <v>114</v>
      </c>
      <c r="I3" s="10">
        <f t="shared" si="0"/>
        <v>3</v>
      </c>
    </row>
    <row r="4" spans="1:9" x14ac:dyDescent="0.35">
      <c r="A4" s="15" t="s">
        <v>288</v>
      </c>
      <c r="B4" s="15" t="s">
        <v>291</v>
      </c>
      <c r="C4" s="16"/>
      <c r="D4" s="17" t="s">
        <v>114</v>
      </c>
      <c r="E4" s="16"/>
      <c r="F4" s="17" t="s">
        <v>114</v>
      </c>
      <c r="G4" s="16"/>
      <c r="H4" s="17" t="s">
        <v>114</v>
      </c>
      <c r="I4" s="10">
        <f t="shared" si="0"/>
        <v>3</v>
      </c>
    </row>
    <row r="5" spans="1:9" x14ac:dyDescent="0.35">
      <c r="A5" s="15" t="s">
        <v>292</v>
      </c>
      <c r="B5" s="15" t="s">
        <v>293</v>
      </c>
      <c r="C5" s="16"/>
      <c r="D5" s="17" t="s">
        <v>114</v>
      </c>
      <c r="E5" s="16"/>
      <c r="F5" s="17" t="s">
        <v>114</v>
      </c>
      <c r="G5" s="16"/>
      <c r="H5" s="17" t="s">
        <v>114</v>
      </c>
      <c r="I5" s="10">
        <f t="shared" si="0"/>
        <v>3</v>
      </c>
    </row>
    <row r="6" spans="1:9" x14ac:dyDescent="0.35">
      <c r="A6" s="15" t="s">
        <v>292</v>
      </c>
      <c r="B6" s="15" t="s">
        <v>294</v>
      </c>
      <c r="C6" s="16"/>
      <c r="D6" s="17" t="s">
        <v>114</v>
      </c>
      <c r="E6" s="16"/>
      <c r="F6" s="17" t="s">
        <v>114</v>
      </c>
      <c r="G6" s="16"/>
      <c r="H6" s="17" t="s">
        <v>114</v>
      </c>
      <c r="I6" s="10">
        <f t="shared" si="0"/>
        <v>3</v>
      </c>
    </row>
    <row r="7" spans="1:9" x14ac:dyDescent="0.35">
      <c r="A7" s="15" t="s">
        <v>292</v>
      </c>
      <c r="B7" s="15" t="s">
        <v>291</v>
      </c>
      <c r="C7" s="16"/>
      <c r="D7" s="17" t="s">
        <v>114</v>
      </c>
      <c r="E7" s="16"/>
      <c r="F7" s="17" t="s">
        <v>114</v>
      </c>
      <c r="G7" s="16"/>
      <c r="H7" s="17" t="s">
        <v>114</v>
      </c>
      <c r="I7" s="10">
        <f t="shared" si="0"/>
        <v>3</v>
      </c>
    </row>
    <row r="8" spans="1:9" x14ac:dyDescent="0.35">
      <c r="A8" s="15" t="s">
        <v>295</v>
      </c>
      <c r="B8" s="15" t="s">
        <v>290</v>
      </c>
      <c r="C8" s="16"/>
      <c r="D8" s="17" t="s">
        <v>114</v>
      </c>
      <c r="E8" s="16"/>
      <c r="F8" s="17" t="s">
        <v>114</v>
      </c>
      <c r="G8" s="16"/>
      <c r="H8" s="17" t="s">
        <v>114</v>
      </c>
      <c r="I8" s="10">
        <f t="shared" si="0"/>
        <v>3</v>
      </c>
    </row>
    <row r="9" spans="1:9" x14ac:dyDescent="0.35">
      <c r="A9" s="15" t="s">
        <v>295</v>
      </c>
      <c r="B9" s="15" t="s">
        <v>291</v>
      </c>
      <c r="C9" s="16"/>
      <c r="D9" s="17" t="s">
        <v>114</v>
      </c>
      <c r="E9" s="16"/>
      <c r="F9" s="17" t="s">
        <v>114</v>
      </c>
      <c r="G9" s="16"/>
      <c r="H9" s="17" t="s">
        <v>114</v>
      </c>
      <c r="I9" s="10">
        <f t="shared" si="0"/>
        <v>3</v>
      </c>
    </row>
    <row r="10" spans="1:9" x14ac:dyDescent="0.35">
      <c r="A10" s="15" t="s">
        <v>296</v>
      </c>
      <c r="B10" s="15" t="s">
        <v>290</v>
      </c>
      <c r="C10" s="16"/>
      <c r="D10" s="17" t="s">
        <v>114</v>
      </c>
      <c r="E10" s="16"/>
      <c r="F10" s="17" t="s">
        <v>114</v>
      </c>
      <c r="G10" s="16"/>
      <c r="H10" s="17" t="s">
        <v>114</v>
      </c>
      <c r="I10" s="10">
        <f t="shared" si="0"/>
        <v>3</v>
      </c>
    </row>
    <row r="11" spans="1:9" x14ac:dyDescent="0.35">
      <c r="A11" s="15" t="s">
        <v>296</v>
      </c>
      <c r="B11" s="15" t="s">
        <v>297</v>
      </c>
      <c r="C11" s="16"/>
      <c r="D11" s="17" t="s">
        <v>114</v>
      </c>
      <c r="E11" s="16"/>
      <c r="F11" s="17" t="s">
        <v>114</v>
      </c>
      <c r="G11" s="16"/>
      <c r="H11" s="17" t="s">
        <v>114</v>
      </c>
      <c r="I11" s="10">
        <f t="shared" si="0"/>
        <v>3</v>
      </c>
    </row>
    <row r="12" spans="1:9" x14ac:dyDescent="0.35">
      <c r="A12" s="15" t="s">
        <v>296</v>
      </c>
      <c r="B12" s="15" t="s">
        <v>291</v>
      </c>
      <c r="C12" s="16"/>
      <c r="D12" s="17" t="s">
        <v>114</v>
      </c>
      <c r="E12" s="16"/>
      <c r="F12" s="17" t="s">
        <v>114</v>
      </c>
      <c r="G12" s="16"/>
      <c r="H12" s="17" t="s">
        <v>114</v>
      </c>
      <c r="I12" s="10">
        <f t="shared" si="0"/>
        <v>3</v>
      </c>
    </row>
    <row r="13" spans="1:9" x14ac:dyDescent="0.35">
      <c r="A13" s="15" t="s">
        <v>298</v>
      </c>
      <c r="B13" s="15" t="s">
        <v>299</v>
      </c>
      <c r="C13" s="16"/>
      <c r="D13" s="17" t="s">
        <v>114</v>
      </c>
      <c r="E13" s="16"/>
      <c r="F13" s="17" t="s">
        <v>114</v>
      </c>
      <c r="G13" s="16"/>
      <c r="H13" s="17" t="s">
        <v>114</v>
      </c>
      <c r="I13" s="10">
        <f t="shared" si="0"/>
        <v>3</v>
      </c>
    </row>
    <row r="14" spans="1:9" x14ac:dyDescent="0.35">
      <c r="A14" s="15" t="s">
        <v>300</v>
      </c>
      <c r="B14" s="15" t="s">
        <v>299</v>
      </c>
      <c r="C14" s="16"/>
      <c r="D14" s="17" t="s">
        <v>114</v>
      </c>
      <c r="E14" s="16"/>
      <c r="F14" s="17" t="s">
        <v>114</v>
      </c>
      <c r="G14" s="16"/>
      <c r="H14" s="17" t="s">
        <v>114</v>
      </c>
      <c r="I14" s="10">
        <f t="shared" si="0"/>
        <v>3</v>
      </c>
    </row>
  </sheetData>
  <autoFilter ref="A1:I14"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77"/>
  <sheetViews>
    <sheetView workbookViewId="0">
      <pane xSplit="1" ySplit="1" topLeftCell="B2" activePane="bottomRight" state="frozen"/>
      <selection pane="topRight"/>
      <selection pane="bottomLeft"/>
      <selection pane="bottomRight"/>
    </sheetView>
  </sheetViews>
  <sheetFormatPr defaultRowHeight="14.5" x14ac:dyDescent="0.35"/>
  <cols>
    <col min="1" max="1" width="30" customWidth="1"/>
    <col min="2" max="6" width="15" customWidth="1"/>
    <col min="7" max="7" width="14" customWidth="1"/>
  </cols>
  <sheetData>
    <row r="1" spans="1:7" ht="30" customHeight="1" x14ac:dyDescent="0.35">
      <c r="A1" s="7" t="s">
        <v>301</v>
      </c>
      <c r="B1" s="7" t="s">
        <v>104</v>
      </c>
      <c r="C1" s="7" t="s">
        <v>105</v>
      </c>
      <c r="D1" s="7" t="s">
        <v>106</v>
      </c>
      <c r="E1" s="7" t="s">
        <v>94</v>
      </c>
      <c r="F1" s="7" t="s">
        <v>92</v>
      </c>
      <c r="G1" s="7" t="s">
        <v>302</v>
      </c>
    </row>
    <row r="2" spans="1:7" x14ac:dyDescent="0.35">
      <c r="A2" s="15" t="s">
        <v>303</v>
      </c>
      <c r="B2" s="17" t="s">
        <v>304</v>
      </c>
      <c r="C2" s="18" t="s">
        <v>305</v>
      </c>
      <c r="D2" s="18" t="s">
        <v>305</v>
      </c>
      <c r="E2" s="19" t="s">
        <v>306</v>
      </c>
      <c r="F2" s="18" t="s">
        <v>305</v>
      </c>
      <c r="G2" s="10">
        <f t="shared" ref="G2:G33" si="0">COUNTIF(B2:F2,"&lt;&gt;-")</f>
        <v>4</v>
      </c>
    </row>
    <row r="3" spans="1:7" x14ac:dyDescent="0.35">
      <c r="A3" s="15" t="s">
        <v>126</v>
      </c>
      <c r="B3" s="17" t="s">
        <v>304</v>
      </c>
      <c r="C3" s="17" t="s">
        <v>304</v>
      </c>
      <c r="D3" s="18" t="s">
        <v>305</v>
      </c>
      <c r="E3" s="18" t="s">
        <v>305</v>
      </c>
      <c r="F3" s="17" t="s">
        <v>304</v>
      </c>
      <c r="G3" s="10">
        <f t="shared" si="0"/>
        <v>5</v>
      </c>
    </row>
    <row r="4" spans="1:7" x14ac:dyDescent="0.35">
      <c r="A4" s="15" t="s">
        <v>307</v>
      </c>
      <c r="B4" s="17" t="s">
        <v>304</v>
      </c>
      <c r="C4" s="18" t="s">
        <v>308</v>
      </c>
      <c r="D4" s="18" t="s">
        <v>305</v>
      </c>
      <c r="E4" s="18" t="s">
        <v>308</v>
      </c>
      <c r="F4" s="18" t="s">
        <v>308</v>
      </c>
      <c r="G4" s="10">
        <f t="shared" si="0"/>
        <v>5</v>
      </c>
    </row>
    <row r="5" spans="1:7" x14ac:dyDescent="0.35">
      <c r="A5" s="15" t="s">
        <v>309</v>
      </c>
      <c r="B5" s="17" t="s">
        <v>304</v>
      </c>
      <c r="C5" s="18" t="s">
        <v>305</v>
      </c>
      <c r="D5" s="18" t="s">
        <v>305</v>
      </c>
      <c r="E5" s="18" t="s">
        <v>305</v>
      </c>
      <c r="F5" s="18" t="s">
        <v>305</v>
      </c>
      <c r="G5" s="10">
        <f t="shared" si="0"/>
        <v>5</v>
      </c>
    </row>
    <row r="6" spans="1:7" x14ac:dyDescent="0.35">
      <c r="A6" s="15" t="s">
        <v>310</v>
      </c>
      <c r="B6" s="17" t="s">
        <v>304</v>
      </c>
      <c r="C6" s="18" t="s">
        <v>308</v>
      </c>
      <c r="D6" s="19" t="s">
        <v>306</v>
      </c>
      <c r="E6" s="19" t="s">
        <v>306</v>
      </c>
      <c r="F6" s="18" t="s">
        <v>308</v>
      </c>
      <c r="G6" s="10">
        <f t="shared" si="0"/>
        <v>3</v>
      </c>
    </row>
    <row r="7" spans="1:7" x14ac:dyDescent="0.35">
      <c r="A7" s="15" t="s">
        <v>311</v>
      </c>
      <c r="B7" s="17" t="s">
        <v>304</v>
      </c>
      <c r="C7" s="17" t="s">
        <v>304</v>
      </c>
      <c r="D7" s="17" t="s">
        <v>304</v>
      </c>
      <c r="E7" s="19" t="s">
        <v>306</v>
      </c>
      <c r="F7" s="18" t="s">
        <v>312</v>
      </c>
      <c r="G7" s="10">
        <f t="shared" si="0"/>
        <v>4</v>
      </c>
    </row>
    <row r="8" spans="1:7" x14ac:dyDescent="0.35">
      <c r="A8" s="15" t="s">
        <v>313</v>
      </c>
      <c r="B8" s="17" t="s">
        <v>304</v>
      </c>
      <c r="C8" s="18" t="s">
        <v>305</v>
      </c>
      <c r="D8" s="18" t="s">
        <v>305</v>
      </c>
      <c r="E8" s="19" t="s">
        <v>306</v>
      </c>
      <c r="F8" s="18" t="s">
        <v>305</v>
      </c>
      <c r="G8" s="10">
        <f t="shared" si="0"/>
        <v>4</v>
      </c>
    </row>
    <row r="9" spans="1:7" x14ac:dyDescent="0.35">
      <c r="A9" s="15" t="s">
        <v>314</v>
      </c>
      <c r="B9" s="17" t="s">
        <v>304</v>
      </c>
      <c r="C9" s="18" t="s">
        <v>305</v>
      </c>
      <c r="D9" s="18" t="s">
        <v>305</v>
      </c>
      <c r="E9" s="19" t="s">
        <v>306</v>
      </c>
      <c r="F9" s="18" t="s">
        <v>305</v>
      </c>
      <c r="G9" s="10">
        <f t="shared" si="0"/>
        <v>4</v>
      </c>
    </row>
    <row r="10" spans="1:7" x14ac:dyDescent="0.35">
      <c r="A10" s="15" t="s">
        <v>315</v>
      </c>
      <c r="B10" s="17" t="s">
        <v>304</v>
      </c>
      <c r="C10" s="19" t="s">
        <v>306</v>
      </c>
      <c r="D10" s="19" t="s">
        <v>306</v>
      </c>
      <c r="E10" s="19" t="s">
        <v>306</v>
      </c>
      <c r="F10" s="19" t="s">
        <v>306</v>
      </c>
      <c r="G10" s="10">
        <f t="shared" si="0"/>
        <v>1</v>
      </c>
    </row>
    <row r="11" spans="1:7" x14ac:dyDescent="0.35">
      <c r="A11" s="15" t="s">
        <v>316</v>
      </c>
      <c r="B11" s="17" t="s">
        <v>304</v>
      </c>
      <c r="C11" s="18" t="s">
        <v>308</v>
      </c>
      <c r="D11" s="18" t="s">
        <v>308</v>
      </c>
      <c r="E11" s="19" t="s">
        <v>306</v>
      </c>
      <c r="F11" s="18" t="s">
        <v>308</v>
      </c>
      <c r="G11" s="10">
        <f t="shared" si="0"/>
        <v>4</v>
      </c>
    </row>
    <row r="12" spans="1:7" x14ac:dyDescent="0.35">
      <c r="A12" s="15" t="s">
        <v>317</v>
      </c>
      <c r="B12" s="17" t="s">
        <v>304</v>
      </c>
      <c r="C12" s="19" t="s">
        <v>306</v>
      </c>
      <c r="D12" s="19" t="s">
        <v>306</v>
      </c>
      <c r="E12" s="19" t="s">
        <v>306</v>
      </c>
      <c r="F12" s="19" t="s">
        <v>306</v>
      </c>
      <c r="G12" s="10">
        <f t="shared" si="0"/>
        <v>1</v>
      </c>
    </row>
    <row r="13" spans="1:7" x14ac:dyDescent="0.35">
      <c r="A13" s="15" t="s">
        <v>138</v>
      </c>
      <c r="B13" s="17" t="s">
        <v>304</v>
      </c>
      <c r="C13" s="18" t="s">
        <v>318</v>
      </c>
      <c r="D13" s="19" t="s">
        <v>306</v>
      </c>
      <c r="E13" s="18" t="s">
        <v>305</v>
      </c>
      <c r="F13" s="18" t="s">
        <v>318</v>
      </c>
      <c r="G13" s="10">
        <f t="shared" si="0"/>
        <v>4</v>
      </c>
    </row>
    <row r="14" spans="1:7" x14ac:dyDescent="0.35">
      <c r="A14" s="15" t="s">
        <v>319</v>
      </c>
      <c r="B14" s="17" t="s">
        <v>304</v>
      </c>
      <c r="C14" s="18" t="s">
        <v>305</v>
      </c>
      <c r="D14" s="18" t="s">
        <v>305</v>
      </c>
      <c r="E14" s="18" t="s">
        <v>305</v>
      </c>
      <c r="F14" s="18" t="s">
        <v>305</v>
      </c>
      <c r="G14" s="10">
        <f t="shared" si="0"/>
        <v>5</v>
      </c>
    </row>
    <row r="15" spans="1:7" x14ac:dyDescent="0.35">
      <c r="A15" s="15" t="s">
        <v>320</v>
      </c>
      <c r="B15" s="17" t="s">
        <v>304</v>
      </c>
      <c r="C15" s="19" t="s">
        <v>306</v>
      </c>
      <c r="D15" s="19" t="s">
        <v>306</v>
      </c>
      <c r="E15" s="19" t="s">
        <v>306</v>
      </c>
      <c r="F15" s="19" t="s">
        <v>306</v>
      </c>
      <c r="G15" s="10">
        <f t="shared" si="0"/>
        <v>1</v>
      </c>
    </row>
    <row r="16" spans="1:7" x14ac:dyDescent="0.35">
      <c r="A16" s="15" t="s">
        <v>321</v>
      </c>
      <c r="B16" s="17" t="s">
        <v>304</v>
      </c>
      <c r="C16" s="19" t="s">
        <v>306</v>
      </c>
      <c r="D16" s="19" t="s">
        <v>306</v>
      </c>
      <c r="E16" s="19" t="s">
        <v>306</v>
      </c>
      <c r="F16" s="19" t="s">
        <v>306</v>
      </c>
      <c r="G16" s="10">
        <f t="shared" si="0"/>
        <v>1</v>
      </c>
    </row>
    <row r="17" spans="1:7" x14ac:dyDescent="0.35">
      <c r="A17" s="15" t="s">
        <v>322</v>
      </c>
      <c r="B17" s="17" t="s">
        <v>304</v>
      </c>
      <c r="C17" s="18" t="s">
        <v>305</v>
      </c>
      <c r="D17" s="18" t="s">
        <v>305</v>
      </c>
      <c r="E17" s="18" t="s">
        <v>305</v>
      </c>
      <c r="F17" s="18" t="s">
        <v>305</v>
      </c>
      <c r="G17" s="10">
        <f t="shared" si="0"/>
        <v>5</v>
      </c>
    </row>
    <row r="18" spans="1:7" x14ac:dyDescent="0.35">
      <c r="A18" s="15" t="s">
        <v>323</v>
      </c>
      <c r="B18" s="17" t="s">
        <v>304</v>
      </c>
      <c r="C18" s="18" t="s">
        <v>305</v>
      </c>
      <c r="D18" s="18" t="s">
        <v>305</v>
      </c>
      <c r="E18" s="19" t="s">
        <v>306</v>
      </c>
      <c r="F18" s="18" t="s">
        <v>305</v>
      </c>
      <c r="G18" s="10">
        <f t="shared" si="0"/>
        <v>4</v>
      </c>
    </row>
    <row r="19" spans="1:7" x14ac:dyDescent="0.35">
      <c r="A19" s="15" t="s">
        <v>324</v>
      </c>
      <c r="B19" s="17" t="s">
        <v>304</v>
      </c>
      <c r="C19" s="18" t="s">
        <v>305</v>
      </c>
      <c r="D19" s="18" t="s">
        <v>305</v>
      </c>
      <c r="E19" s="18" t="s">
        <v>305</v>
      </c>
      <c r="F19" s="18" t="s">
        <v>305</v>
      </c>
      <c r="G19" s="10">
        <f t="shared" si="0"/>
        <v>5</v>
      </c>
    </row>
    <row r="20" spans="1:7" x14ac:dyDescent="0.35">
      <c r="A20" s="15" t="s">
        <v>325</v>
      </c>
      <c r="B20" s="17" t="s">
        <v>304</v>
      </c>
      <c r="C20" s="18" t="s">
        <v>305</v>
      </c>
      <c r="D20" s="18" t="s">
        <v>305</v>
      </c>
      <c r="E20" s="18" t="s">
        <v>305</v>
      </c>
      <c r="F20" s="18" t="s">
        <v>305</v>
      </c>
      <c r="G20" s="10">
        <f t="shared" si="0"/>
        <v>5</v>
      </c>
    </row>
    <row r="21" spans="1:7" x14ac:dyDescent="0.35">
      <c r="A21" s="15" t="s">
        <v>326</v>
      </c>
      <c r="B21" s="17" t="s">
        <v>304</v>
      </c>
      <c r="C21" s="17" t="s">
        <v>304</v>
      </c>
      <c r="D21" s="17" t="s">
        <v>304</v>
      </c>
      <c r="E21" s="19" t="s">
        <v>306</v>
      </c>
      <c r="F21" s="19" t="s">
        <v>306</v>
      </c>
      <c r="G21" s="10">
        <f t="shared" si="0"/>
        <v>3</v>
      </c>
    </row>
    <row r="22" spans="1:7" x14ac:dyDescent="0.35">
      <c r="A22" s="15" t="s">
        <v>327</v>
      </c>
      <c r="B22" s="17" t="s">
        <v>304</v>
      </c>
      <c r="C22" s="17" t="s">
        <v>304</v>
      </c>
      <c r="D22" s="17" t="s">
        <v>304</v>
      </c>
      <c r="E22" s="19" t="s">
        <v>306</v>
      </c>
      <c r="F22" s="19" t="s">
        <v>306</v>
      </c>
      <c r="G22" s="10">
        <f t="shared" si="0"/>
        <v>3</v>
      </c>
    </row>
    <row r="23" spans="1:7" x14ac:dyDescent="0.35">
      <c r="A23" s="15" t="s">
        <v>328</v>
      </c>
      <c r="B23" s="17" t="s">
        <v>304</v>
      </c>
      <c r="C23" s="18" t="s">
        <v>329</v>
      </c>
      <c r="D23" s="18" t="s">
        <v>305</v>
      </c>
      <c r="E23" s="19" t="s">
        <v>306</v>
      </c>
      <c r="F23" s="19" t="s">
        <v>306</v>
      </c>
      <c r="G23" s="10">
        <f t="shared" si="0"/>
        <v>3</v>
      </c>
    </row>
    <row r="24" spans="1:7" x14ac:dyDescent="0.35">
      <c r="A24" s="15" t="s">
        <v>330</v>
      </c>
      <c r="B24" s="17" t="s">
        <v>304</v>
      </c>
      <c r="C24" s="18" t="s">
        <v>305</v>
      </c>
      <c r="D24" s="18" t="s">
        <v>305</v>
      </c>
      <c r="E24" s="18" t="s">
        <v>305</v>
      </c>
      <c r="F24" s="18" t="s">
        <v>305</v>
      </c>
      <c r="G24" s="10">
        <f t="shared" si="0"/>
        <v>5</v>
      </c>
    </row>
    <row r="25" spans="1:7" x14ac:dyDescent="0.35">
      <c r="A25" s="15" t="s">
        <v>331</v>
      </c>
      <c r="B25" s="17" t="s">
        <v>304</v>
      </c>
      <c r="C25" s="17" t="s">
        <v>304</v>
      </c>
      <c r="D25" s="17" t="s">
        <v>304</v>
      </c>
      <c r="E25" s="19" t="s">
        <v>306</v>
      </c>
      <c r="F25" s="18" t="s">
        <v>312</v>
      </c>
      <c r="G25" s="10">
        <f t="shared" si="0"/>
        <v>4</v>
      </c>
    </row>
    <row r="26" spans="1:7" x14ac:dyDescent="0.35">
      <c r="A26" s="15" t="s">
        <v>332</v>
      </c>
      <c r="B26" s="17" t="s">
        <v>304</v>
      </c>
      <c r="C26" s="18" t="s">
        <v>305</v>
      </c>
      <c r="D26" s="18" t="s">
        <v>305</v>
      </c>
      <c r="E26" s="18" t="s">
        <v>305</v>
      </c>
      <c r="F26" s="18" t="s">
        <v>305</v>
      </c>
      <c r="G26" s="10">
        <f t="shared" si="0"/>
        <v>5</v>
      </c>
    </row>
    <row r="27" spans="1:7" x14ac:dyDescent="0.35">
      <c r="A27" s="15" t="s">
        <v>160</v>
      </c>
      <c r="B27" s="17" t="s">
        <v>304</v>
      </c>
      <c r="C27" s="18" t="s">
        <v>312</v>
      </c>
      <c r="D27" s="18" t="s">
        <v>312</v>
      </c>
      <c r="E27" s="19" t="s">
        <v>306</v>
      </c>
      <c r="F27" s="19" t="s">
        <v>306</v>
      </c>
      <c r="G27" s="10">
        <f t="shared" si="0"/>
        <v>3</v>
      </c>
    </row>
    <row r="28" spans="1:7" x14ac:dyDescent="0.35">
      <c r="A28" s="15" t="s">
        <v>333</v>
      </c>
      <c r="B28" s="17" t="s">
        <v>304</v>
      </c>
      <c r="C28" s="19" t="s">
        <v>306</v>
      </c>
      <c r="D28" s="19" t="s">
        <v>306</v>
      </c>
      <c r="E28" s="19" t="s">
        <v>306</v>
      </c>
      <c r="F28" s="19" t="s">
        <v>306</v>
      </c>
      <c r="G28" s="10">
        <f t="shared" si="0"/>
        <v>1</v>
      </c>
    </row>
    <row r="29" spans="1:7" x14ac:dyDescent="0.35">
      <c r="A29" s="15" t="s">
        <v>334</v>
      </c>
      <c r="B29" s="17" t="s">
        <v>304</v>
      </c>
      <c r="C29" s="18" t="s">
        <v>312</v>
      </c>
      <c r="D29" s="18" t="s">
        <v>312</v>
      </c>
      <c r="E29" s="19" t="s">
        <v>306</v>
      </c>
      <c r="F29" s="19" t="s">
        <v>306</v>
      </c>
      <c r="G29" s="10">
        <f t="shared" si="0"/>
        <v>3</v>
      </c>
    </row>
    <row r="30" spans="1:7" x14ac:dyDescent="0.35">
      <c r="A30" s="15" t="s">
        <v>335</v>
      </c>
      <c r="B30" s="17" t="s">
        <v>304</v>
      </c>
      <c r="C30" s="19" t="s">
        <v>306</v>
      </c>
      <c r="D30" s="19" t="s">
        <v>306</v>
      </c>
      <c r="E30" s="19" t="s">
        <v>306</v>
      </c>
      <c r="F30" s="19" t="s">
        <v>306</v>
      </c>
      <c r="G30" s="10">
        <f t="shared" si="0"/>
        <v>1</v>
      </c>
    </row>
    <row r="31" spans="1:7" x14ac:dyDescent="0.35">
      <c r="A31" s="15" t="s">
        <v>336</v>
      </c>
      <c r="B31" s="17" t="s">
        <v>304</v>
      </c>
      <c r="C31" s="18" t="s">
        <v>305</v>
      </c>
      <c r="D31" s="18" t="s">
        <v>305</v>
      </c>
      <c r="E31" s="18" t="s">
        <v>305</v>
      </c>
      <c r="F31" s="18" t="s">
        <v>305</v>
      </c>
      <c r="G31" s="10">
        <f t="shared" si="0"/>
        <v>5</v>
      </c>
    </row>
    <row r="32" spans="1:7" x14ac:dyDescent="0.35">
      <c r="A32" s="15" t="s">
        <v>337</v>
      </c>
      <c r="B32" s="17" t="s">
        <v>304</v>
      </c>
      <c r="C32" s="18" t="s">
        <v>305</v>
      </c>
      <c r="D32" s="18" t="s">
        <v>305</v>
      </c>
      <c r="E32" s="18" t="s">
        <v>305</v>
      </c>
      <c r="F32" s="18" t="s">
        <v>305</v>
      </c>
      <c r="G32" s="10">
        <f t="shared" si="0"/>
        <v>5</v>
      </c>
    </row>
    <row r="33" spans="1:7" x14ac:dyDescent="0.35">
      <c r="A33" s="15" t="s">
        <v>338</v>
      </c>
      <c r="B33" s="17" t="s">
        <v>304</v>
      </c>
      <c r="C33" s="18" t="s">
        <v>305</v>
      </c>
      <c r="D33" s="18" t="s">
        <v>305</v>
      </c>
      <c r="E33" s="18" t="s">
        <v>305</v>
      </c>
      <c r="F33" s="18" t="s">
        <v>305</v>
      </c>
      <c r="G33" s="10">
        <f t="shared" si="0"/>
        <v>5</v>
      </c>
    </row>
    <row r="34" spans="1:7" x14ac:dyDescent="0.35">
      <c r="A34" s="15" t="s">
        <v>169</v>
      </c>
      <c r="B34" s="17" t="s">
        <v>304</v>
      </c>
      <c r="C34" s="17" t="s">
        <v>304</v>
      </c>
      <c r="D34" s="18" t="s">
        <v>305</v>
      </c>
      <c r="E34" s="19" t="s">
        <v>306</v>
      </c>
      <c r="F34" s="19" t="s">
        <v>306</v>
      </c>
      <c r="G34" s="10">
        <f t="shared" ref="G34:G65" si="1">COUNTIF(B34:F34,"&lt;&gt;-")</f>
        <v>3</v>
      </c>
    </row>
    <row r="35" spans="1:7" x14ac:dyDescent="0.35">
      <c r="A35" s="15" t="s">
        <v>339</v>
      </c>
      <c r="B35" s="17" t="s">
        <v>304</v>
      </c>
      <c r="C35" s="18" t="s">
        <v>305</v>
      </c>
      <c r="D35" s="19" t="s">
        <v>306</v>
      </c>
      <c r="E35" s="17" t="s">
        <v>304</v>
      </c>
      <c r="F35" s="17" t="s">
        <v>304</v>
      </c>
      <c r="G35" s="10">
        <f t="shared" si="1"/>
        <v>4</v>
      </c>
    </row>
    <row r="36" spans="1:7" x14ac:dyDescent="0.35">
      <c r="A36" s="15" t="s">
        <v>340</v>
      </c>
      <c r="B36" s="17" t="s">
        <v>304</v>
      </c>
      <c r="C36" s="18" t="s">
        <v>305</v>
      </c>
      <c r="D36" s="19" t="s">
        <v>306</v>
      </c>
      <c r="E36" s="17" t="s">
        <v>304</v>
      </c>
      <c r="F36" s="17" t="s">
        <v>304</v>
      </c>
      <c r="G36" s="10">
        <f t="shared" si="1"/>
        <v>4</v>
      </c>
    </row>
    <row r="37" spans="1:7" x14ac:dyDescent="0.35">
      <c r="A37" s="15" t="s">
        <v>341</v>
      </c>
      <c r="B37" s="17" t="s">
        <v>304</v>
      </c>
      <c r="C37" s="19" t="s">
        <v>306</v>
      </c>
      <c r="D37" s="19" t="s">
        <v>306</v>
      </c>
      <c r="E37" s="19" t="s">
        <v>306</v>
      </c>
      <c r="F37" s="19" t="s">
        <v>306</v>
      </c>
      <c r="G37" s="10">
        <f t="shared" si="1"/>
        <v>1</v>
      </c>
    </row>
    <row r="38" spans="1:7" x14ac:dyDescent="0.35">
      <c r="A38" s="15" t="s">
        <v>342</v>
      </c>
      <c r="B38" s="17" t="s">
        <v>304</v>
      </c>
      <c r="C38" s="18" t="s">
        <v>305</v>
      </c>
      <c r="D38" s="18" t="s">
        <v>305</v>
      </c>
      <c r="E38" s="18" t="s">
        <v>305</v>
      </c>
      <c r="F38" s="18" t="s">
        <v>305</v>
      </c>
      <c r="G38" s="10">
        <f t="shared" si="1"/>
        <v>5</v>
      </c>
    </row>
    <row r="39" spans="1:7" x14ac:dyDescent="0.35">
      <c r="A39" s="15" t="s">
        <v>343</v>
      </c>
      <c r="B39" s="17" t="s">
        <v>304</v>
      </c>
      <c r="C39" s="18" t="s">
        <v>305</v>
      </c>
      <c r="D39" s="18" t="s">
        <v>305</v>
      </c>
      <c r="E39" s="18" t="s">
        <v>305</v>
      </c>
      <c r="F39" s="18" t="s">
        <v>305</v>
      </c>
      <c r="G39" s="10">
        <f t="shared" si="1"/>
        <v>5</v>
      </c>
    </row>
    <row r="40" spans="1:7" x14ac:dyDescent="0.35">
      <c r="A40" s="15" t="s">
        <v>344</v>
      </c>
      <c r="B40" s="17" t="s">
        <v>304</v>
      </c>
      <c r="C40" s="18" t="s">
        <v>305</v>
      </c>
      <c r="D40" s="18" t="s">
        <v>305</v>
      </c>
      <c r="E40" s="18" t="s">
        <v>305</v>
      </c>
      <c r="F40" s="18" t="s">
        <v>305</v>
      </c>
      <c r="G40" s="10">
        <f t="shared" si="1"/>
        <v>5</v>
      </c>
    </row>
    <row r="41" spans="1:7" x14ac:dyDescent="0.35">
      <c r="A41" s="15" t="s">
        <v>345</v>
      </c>
      <c r="B41" s="17" t="s">
        <v>304</v>
      </c>
      <c r="C41" s="18" t="s">
        <v>305</v>
      </c>
      <c r="D41" s="18" t="s">
        <v>305</v>
      </c>
      <c r="E41" s="18" t="s">
        <v>305</v>
      </c>
      <c r="F41" s="18" t="s">
        <v>305</v>
      </c>
      <c r="G41" s="10">
        <f t="shared" si="1"/>
        <v>5</v>
      </c>
    </row>
    <row r="42" spans="1:7" x14ac:dyDescent="0.35">
      <c r="A42" s="15" t="s">
        <v>346</v>
      </c>
      <c r="B42" s="17" t="s">
        <v>304</v>
      </c>
      <c r="C42" s="18" t="s">
        <v>305</v>
      </c>
      <c r="D42" s="18" t="s">
        <v>305</v>
      </c>
      <c r="E42" s="18" t="s">
        <v>305</v>
      </c>
      <c r="F42" s="18" t="s">
        <v>305</v>
      </c>
      <c r="G42" s="10">
        <f t="shared" si="1"/>
        <v>5</v>
      </c>
    </row>
    <row r="43" spans="1:7" x14ac:dyDescent="0.35">
      <c r="A43" s="15" t="s">
        <v>347</v>
      </c>
      <c r="B43" s="17" t="s">
        <v>304</v>
      </c>
      <c r="C43" s="18" t="s">
        <v>305</v>
      </c>
      <c r="D43" s="18" t="s">
        <v>305</v>
      </c>
      <c r="E43" s="18" t="s">
        <v>305</v>
      </c>
      <c r="F43" s="18" t="s">
        <v>305</v>
      </c>
      <c r="G43" s="10">
        <f t="shared" si="1"/>
        <v>5</v>
      </c>
    </row>
    <row r="44" spans="1:7" x14ac:dyDescent="0.35">
      <c r="A44" s="15" t="s">
        <v>348</v>
      </c>
      <c r="B44" s="17" t="s">
        <v>304</v>
      </c>
      <c r="C44" s="19" t="s">
        <v>306</v>
      </c>
      <c r="D44" s="19" t="s">
        <v>306</v>
      </c>
      <c r="E44" s="19" t="s">
        <v>306</v>
      </c>
      <c r="F44" s="19" t="s">
        <v>306</v>
      </c>
      <c r="G44" s="10">
        <f t="shared" si="1"/>
        <v>1</v>
      </c>
    </row>
    <row r="45" spans="1:7" x14ac:dyDescent="0.35">
      <c r="A45" s="15" t="s">
        <v>349</v>
      </c>
      <c r="B45" s="17" t="s">
        <v>304</v>
      </c>
      <c r="C45" s="19" t="s">
        <v>306</v>
      </c>
      <c r="D45" s="19" t="s">
        <v>306</v>
      </c>
      <c r="E45" s="19" t="s">
        <v>306</v>
      </c>
      <c r="F45" s="19" t="s">
        <v>306</v>
      </c>
      <c r="G45" s="10">
        <f t="shared" si="1"/>
        <v>1</v>
      </c>
    </row>
    <row r="46" spans="1:7" x14ac:dyDescent="0.35">
      <c r="A46" s="15" t="s">
        <v>181</v>
      </c>
      <c r="B46" s="17" t="s">
        <v>304</v>
      </c>
      <c r="C46" s="18" t="s">
        <v>308</v>
      </c>
      <c r="D46" s="19" t="s">
        <v>306</v>
      </c>
      <c r="E46" s="17" t="s">
        <v>304</v>
      </c>
      <c r="F46" s="17" t="s">
        <v>304</v>
      </c>
      <c r="G46" s="10">
        <f t="shared" si="1"/>
        <v>4</v>
      </c>
    </row>
    <row r="47" spans="1:7" x14ac:dyDescent="0.35">
      <c r="A47" s="15" t="s">
        <v>350</v>
      </c>
      <c r="B47" s="17" t="s">
        <v>304</v>
      </c>
      <c r="C47" s="18" t="s">
        <v>305</v>
      </c>
      <c r="D47" s="19" t="s">
        <v>306</v>
      </c>
      <c r="E47" s="17" t="s">
        <v>304</v>
      </c>
      <c r="F47" s="17" t="s">
        <v>304</v>
      </c>
      <c r="G47" s="10">
        <f t="shared" si="1"/>
        <v>4</v>
      </c>
    </row>
    <row r="48" spans="1:7" x14ac:dyDescent="0.35">
      <c r="A48" s="15" t="s">
        <v>351</v>
      </c>
      <c r="B48" s="17" t="s">
        <v>304</v>
      </c>
      <c r="C48" s="18" t="s">
        <v>305</v>
      </c>
      <c r="D48" s="18" t="s">
        <v>305</v>
      </c>
      <c r="E48" s="18" t="s">
        <v>305</v>
      </c>
      <c r="F48" s="18" t="s">
        <v>305</v>
      </c>
      <c r="G48" s="10">
        <f t="shared" si="1"/>
        <v>5</v>
      </c>
    </row>
    <row r="49" spans="1:7" x14ac:dyDescent="0.35">
      <c r="A49" s="15" t="s">
        <v>352</v>
      </c>
      <c r="B49" s="17" t="s">
        <v>304</v>
      </c>
      <c r="C49" s="18" t="s">
        <v>305</v>
      </c>
      <c r="D49" s="18" t="s">
        <v>305</v>
      </c>
      <c r="E49" s="19" t="s">
        <v>306</v>
      </c>
      <c r="F49" s="18" t="s">
        <v>305</v>
      </c>
      <c r="G49" s="10">
        <f t="shared" si="1"/>
        <v>4</v>
      </c>
    </row>
    <row r="50" spans="1:7" x14ac:dyDescent="0.35">
      <c r="A50" s="15" t="s">
        <v>353</v>
      </c>
      <c r="B50" s="17" t="s">
        <v>304</v>
      </c>
      <c r="C50" s="19" t="s">
        <v>306</v>
      </c>
      <c r="D50" s="19" t="s">
        <v>306</v>
      </c>
      <c r="E50" s="19" t="s">
        <v>306</v>
      </c>
      <c r="F50" s="19" t="s">
        <v>306</v>
      </c>
      <c r="G50" s="10">
        <f t="shared" si="1"/>
        <v>1</v>
      </c>
    </row>
    <row r="51" spans="1:7" x14ac:dyDescent="0.35">
      <c r="A51" s="15" t="s">
        <v>354</v>
      </c>
      <c r="B51" s="17" t="s">
        <v>304</v>
      </c>
      <c r="C51" s="17" t="s">
        <v>304</v>
      </c>
      <c r="D51" s="18" t="s">
        <v>305</v>
      </c>
      <c r="E51" s="19" t="s">
        <v>306</v>
      </c>
      <c r="F51" s="19" t="s">
        <v>306</v>
      </c>
      <c r="G51" s="10">
        <f t="shared" si="1"/>
        <v>3</v>
      </c>
    </row>
    <row r="52" spans="1:7" x14ac:dyDescent="0.35">
      <c r="A52" s="15" t="s">
        <v>355</v>
      </c>
      <c r="B52" s="17" t="s">
        <v>304</v>
      </c>
      <c r="C52" s="18" t="s">
        <v>329</v>
      </c>
      <c r="D52" s="18" t="s">
        <v>305</v>
      </c>
      <c r="E52" s="19" t="s">
        <v>306</v>
      </c>
      <c r="F52" s="19" t="s">
        <v>306</v>
      </c>
      <c r="G52" s="10">
        <f t="shared" si="1"/>
        <v>3</v>
      </c>
    </row>
    <row r="53" spans="1:7" x14ac:dyDescent="0.35">
      <c r="A53" s="15" t="s">
        <v>356</v>
      </c>
      <c r="B53" s="17" t="s">
        <v>304</v>
      </c>
      <c r="C53" s="18" t="s">
        <v>329</v>
      </c>
      <c r="D53" s="18" t="s">
        <v>305</v>
      </c>
      <c r="E53" s="19" t="s">
        <v>306</v>
      </c>
      <c r="F53" s="19" t="s">
        <v>306</v>
      </c>
      <c r="G53" s="10">
        <f t="shared" si="1"/>
        <v>3</v>
      </c>
    </row>
    <row r="54" spans="1:7" x14ac:dyDescent="0.35">
      <c r="A54" s="15" t="s">
        <v>357</v>
      </c>
      <c r="B54" s="17" t="s">
        <v>304</v>
      </c>
      <c r="C54" s="18" t="s">
        <v>358</v>
      </c>
      <c r="D54" s="18" t="s">
        <v>305</v>
      </c>
      <c r="E54" s="19" t="s">
        <v>306</v>
      </c>
      <c r="F54" s="19" t="s">
        <v>306</v>
      </c>
      <c r="G54" s="10">
        <f t="shared" si="1"/>
        <v>3</v>
      </c>
    </row>
    <row r="55" spans="1:7" x14ac:dyDescent="0.35">
      <c r="A55" s="15" t="s">
        <v>359</v>
      </c>
      <c r="B55" s="17" t="s">
        <v>304</v>
      </c>
      <c r="C55" s="18" t="s">
        <v>358</v>
      </c>
      <c r="D55" s="19" t="s">
        <v>306</v>
      </c>
      <c r="E55" s="19" t="s">
        <v>306</v>
      </c>
      <c r="F55" s="19" t="s">
        <v>306</v>
      </c>
      <c r="G55" s="10">
        <f t="shared" si="1"/>
        <v>2</v>
      </c>
    </row>
    <row r="56" spans="1:7" x14ac:dyDescent="0.35">
      <c r="A56" s="15" t="s">
        <v>360</v>
      </c>
      <c r="B56" s="17" t="s">
        <v>304</v>
      </c>
      <c r="C56" s="19" t="s">
        <v>306</v>
      </c>
      <c r="D56" s="19" t="s">
        <v>306</v>
      </c>
      <c r="E56" s="19" t="s">
        <v>306</v>
      </c>
      <c r="F56" s="19" t="s">
        <v>306</v>
      </c>
      <c r="G56" s="10">
        <f t="shared" si="1"/>
        <v>1</v>
      </c>
    </row>
    <row r="57" spans="1:7" x14ac:dyDescent="0.35">
      <c r="A57" s="15" t="s">
        <v>361</v>
      </c>
      <c r="B57" s="17" t="s">
        <v>304</v>
      </c>
      <c r="C57" s="19" t="s">
        <v>306</v>
      </c>
      <c r="D57" s="19" t="s">
        <v>306</v>
      </c>
      <c r="E57" s="19" t="s">
        <v>306</v>
      </c>
      <c r="F57" s="19" t="s">
        <v>306</v>
      </c>
      <c r="G57" s="10">
        <f t="shared" si="1"/>
        <v>1</v>
      </c>
    </row>
    <row r="58" spans="1:7" x14ac:dyDescent="0.35">
      <c r="A58" s="15" t="s">
        <v>209</v>
      </c>
      <c r="B58" s="17" t="s">
        <v>304</v>
      </c>
      <c r="C58" s="17" t="s">
        <v>304</v>
      </c>
      <c r="D58" s="18" t="s">
        <v>305</v>
      </c>
      <c r="E58" s="18" t="s">
        <v>305</v>
      </c>
      <c r="F58" s="17" t="s">
        <v>304</v>
      </c>
      <c r="G58" s="10">
        <f t="shared" si="1"/>
        <v>5</v>
      </c>
    </row>
    <row r="59" spans="1:7" x14ac:dyDescent="0.35">
      <c r="A59" s="15" t="s">
        <v>362</v>
      </c>
      <c r="B59" s="17" t="s">
        <v>304</v>
      </c>
      <c r="C59" s="19" t="s">
        <v>306</v>
      </c>
      <c r="D59" s="19" t="s">
        <v>306</v>
      </c>
      <c r="E59" s="19" t="s">
        <v>306</v>
      </c>
      <c r="F59" s="19" t="s">
        <v>306</v>
      </c>
      <c r="G59" s="10">
        <f t="shared" si="1"/>
        <v>1</v>
      </c>
    </row>
    <row r="60" spans="1:7" x14ac:dyDescent="0.35">
      <c r="A60" s="15" t="s">
        <v>363</v>
      </c>
      <c r="B60" s="17" t="s">
        <v>304</v>
      </c>
      <c r="C60" s="18" t="s">
        <v>329</v>
      </c>
      <c r="D60" s="18" t="s">
        <v>305</v>
      </c>
      <c r="E60" s="19" t="s">
        <v>306</v>
      </c>
      <c r="F60" s="18" t="s">
        <v>305</v>
      </c>
      <c r="G60" s="10">
        <f t="shared" si="1"/>
        <v>4</v>
      </c>
    </row>
    <row r="61" spans="1:7" x14ac:dyDescent="0.35">
      <c r="A61" s="15" t="s">
        <v>364</v>
      </c>
      <c r="B61" s="17" t="s">
        <v>304</v>
      </c>
      <c r="C61" s="18" t="s">
        <v>305</v>
      </c>
      <c r="D61" s="19" t="s">
        <v>306</v>
      </c>
      <c r="E61" s="19" t="s">
        <v>306</v>
      </c>
      <c r="F61" s="19" t="s">
        <v>306</v>
      </c>
      <c r="G61" s="10">
        <f t="shared" si="1"/>
        <v>2</v>
      </c>
    </row>
    <row r="62" spans="1:7" x14ac:dyDescent="0.35">
      <c r="A62" s="15" t="s">
        <v>365</v>
      </c>
      <c r="B62" s="17" t="s">
        <v>304</v>
      </c>
      <c r="C62" s="19" t="s">
        <v>306</v>
      </c>
      <c r="D62" s="19" t="s">
        <v>306</v>
      </c>
      <c r="E62" s="19" t="s">
        <v>306</v>
      </c>
      <c r="F62" s="19" t="s">
        <v>306</v>
      </c>
      <c r="G62" s="10">
        <f t="shared" si="1"/>
        <v>1</v>
      </c>
    </row>
    <row r="63" spans="1:7" x14ac:dyDescent="0.35">
      <c r="A63" s="15" t="s">
        <v>366</v>
      </c>
      <c r="B63" s="17" t="s">
        <v>304</v>
      </c>
      <c r="C63" s="18" t="s">
        <v>305</v>
      </c>
      <c r="D63" s="18" t="s">
        <v>305</v>
      </c>
      <c r="E63" s="18" t="s">
        <v>305</v>
      </c>
      <c r="F63" s="18" t="s">
        <v>305</v>
      </c>
      <c r="G63" s="10">
        <f t="shared" si="1"/>
        <v>5</v>
      </c>
    </row>
    <row r="64" spans="1:7" x14ac:dyDescent="0.35">
      <c r="A64" s="15" t="s">
        <v>217</v>
      </c>
      <c r="B64" s="17" t="s">
        <v>304</v>
      </c>
      <c r="C64" s="18" t="s">
        <v>305</v>
      </c>
      <c r="D64" s="18" t="s">
        <v>305</v>
      </c>
      <c r="E64" s="18" t="s">
        <v>305</v>
      </c>
      <c r="F64" s="18" t="s">
        <v>305</v>
      </c>
      <c r="G64" s="10">
        <f t="shared" si="1"/>
        <v>5</v>
      </c>
    </row>
    <row r="65" spans="1:7" x14ac:dyDescent="0.35">
      <c r="A65" s="15" t="s">
        <v>367</v>
      </c>
      <c r="B65" s="17" t="s">
        <v>304</v>
      </c>
      <c r="C65" s="19" t="s">
        <v>306</v>
      </c>
      <c r="D65" s="19" t="s">
        <v>306</v>
      </c>
      <c r="E65" s="19" t="s">
        <v>306</v>
      </c>
      <c r="F65" s="19" t="s">
        <v>306</v>
      </c>
      <c r="G65" s="10">
        <f t="shared" si="1"/>
        <v>1</v>
      </c>
    </row>
    <row r="66" spans="1:7" x14ac:dyDescent="0.35">
      <c r="A66" s="15" t="s">
        <v>368</v>
      </c>
      <c r="B66" s="17" t="s">
        <v>304</v>
      </c>
      <c r="C66" s="17" t="s">
        <v>304</v>
      </c>
      <c r="D66" s="18" t="s">
        <v>308</v>
      </c>
      <c r="E66" s="19" t="s">
        <v>306</v>
      </c>
      <c r="F66" s="19" t="s">
        <v>306</v>
      </c>
      <c r="G66" s="10">
        <f t="shared" ref="G66:G97" si="2">COUNTIF(B66:F66,"&lt;&gt;-")</f>
        <v>3</v>
      </c>
    </row>
    <row r="67" spans="1:7" x14ac:dyDescent="0.35">
      <c r="A67" s="15" t="s">
        <v>369</v>
      </c>
      <c r="B67" s="17" t="s">
        <v>304</v>
      </c>
      <c r="C67" s="18" t="s">
        <v>318</v>
      </c>
      <c r="D67" s="19" t="s">
        <v>306</v>
      </c>
      <c r="E67" s="19" t="s">
        <v>306</v>
      </c>
      <c r="F67" s="19" t="s">
        <v>306</v>
      </c>
      <c r="G67" s="10">
        <f t="shared" si="2"/>
        <v>2</v>
      </c>
    </row>
    <row r="68" spans="1:7" x14ac:dyDescent="0.35">
      <c r="A68" s="15" t="s">
        <v>370</v>
      </c>
      <c r="B68" s="17" t="s">
        <v>304</v>
      </c>
      <c r="C68" s="18" t="s">
        <v>312</v>
      </c>
      <c r="D68" s="19" t="s">
        <v>306</v>
      </c>
      <c r="E68" s="19" t="s">
        <v>306</v>
      </c>
      <c r="F68" s="19" t="s">
        <v>306</v>
      </c>
      <c r="G68" s="10">
        <f t="shared" si="2"/>
        <v>2</v>
      </c>
    </row>
    <row r="69" spans="1:7" x14ac:dyDescent="0.35">
      <c r="A69" s="15" t="s">
        <v>371</v>
      </c>
      <c r="B69" s="17" t="s">
        <v>304</v>
      </c>
      <c r="C69" s="17" t="s">
        <v>304</v>
      </c>
      <c r="D69" s="17" t="s">
        <v>304</v>
      </c>
      <c r="E69" s="19" t="s">
        <v>306</v>
      </c>
      <c r="F69" s="18" t="s">
        <v>305</v>
      </c>
      <c r="G69" s="10">
        <f t="shared" si="2"/>
        <v>4</v>
      </c>
    </row>
    <row r="70" spans="1:7" x14ac:dyDescent="0.35">
      <c r="A70" s="15" t="s">
        <v>372</v>
      </c>
      <c r="B70" s="17" t="s">
        <v>304</v>
      </c>
      <c r="C70" s="18" t="s">
        <v>305</v>
      </c>
      <c r="D70" s="18" t="s">
        <v>305</v>
      </c>
      <c r="E70" s="18" t="s">
        <v>305</v>
      </c>
      <c r="F70" s="18" t="s">
        <v>305</v>
      </c>
      <c r="G70" s="10">
        <f t="shared" si="2"/>
        <v>5</v>
      </c>
    </row>
    <row r="71" spans="1:7" x14ac:dyDescent="0.35">
      <c r="A71" s="15" t="s">
        <v>373</v>
      </c>
      <c r="B71" s="17" t="s">
        <v>304</v>
      </c>
      <c r="C71" s="17" t="s">
        <v>304</v>
      </c>
      <c r="D71" s="17" t="s">
        <v>304</v>
      </c>
      <c r="E71" s="19" t="s">
        <v>306</v>
      </c>
      <c r="F71" s="19" t="s">
        <v>306</v>
      </c>
      <c r="G71" s="10">
        <f t="shared" si="2"/>
        <v>3</v>
      </c>
    </row>
    <row r="72" spans="1:7" x14ac:dyDescent="0.35">
      <c r="A72" s="15" t="s">
        <v>374</v>
      </c>
      <c r="B72" s="17" t="s">
        <v>304</v>
      </c>
      <c r="C72" s="17" t="s">
        <v>304</v>
      </c>
      <c r="D72" s="18" t="s">
        <v>329</v>
      </c>
      <c r="E72" s="19" t="s">
        <v>306</v>
      </c>
      <c r="F72" s="19" t="s">
        <v>306</v>
      </c>
      <c r="G72" s="10">
        <f t="shared" si="2"/>
        <v>3</v>
      </c>
    </row>
    <row r="74" spans="1:7" x14ac:dyDescent="0.35">
      <c r="A74" s="6" t="s">
        <v>375</v>
      </c>
    </row>
    <row r="75" spans="1:7" x14ac:dyDescent="0.35">
      <c r="A75" s="20" t="s">
        <v>376</v>
      </c>
    </row>
    <row r="76" spans="1:7" x14ac:dyDescent="0.35">
      <c r="A76" s="20" t="s">
        <v>377</v>
      </c>
    </row>
    <row r="77" spans="1:7" x14ac:dyDescent="0.35">
      <c r="A77" s="20" t="s">
        <v>378</v>
      </c>
    </row>
  </sheetData>
  <autoFilter ref="A1:G72"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63"/>
  <sheetViews>
    <sheetView workbookViewId="0">
      <pane ySplit="1" topLeftCell="A2" activePane="bottomLeft" state="frozen"/>
      <selection pane="bottomLeft"/>
    </sheetView>
  </sheetViews>
  <sheetFormatPr defaultRowHeight="14.5" x14ac:dyDescent="0.35"/>
  <cols>
    <col min="1" max="1" width="26" customWidth="1"/>
    <col min="2" max="3" width="44" customWidth="1"/>
    <col min="4" max="4" width="24" customWidth="1"/>
    <col min="5" max="5" width="40" customWidth="1"/>
  </cols>
  <sheetData>
    <row r="1" spans="1:5" ht="30" customHeight="1" x14ac:dyDescent="0.35">
      <c r="A1" s="7" t="s">
        <v>379</v>
      </c>
      <c r="B1" s="7" t="s">
        <v>109</v>
      </c>
      <c r="C1" s="7" t="s">
        <v>380</v>
      </c>
      <c r="D1" s="7" t="s">
        <v>381</v>
      </c>
      <c r="E1" s="7" t="s">
        <v>382</v>
      </c>
    </row>
    <row r="2" spans="1:5" ht="25" x14ac:dyDescent="0.35">
      <c r="A2" s="21" t="s">
        <v>383</v>
      </c>
      <c r="B2" s="21" t="s">
        <v>384</v>
      </c>
      <c r="C2" s="21" t="s">
        <v>385</v>
      </c>
      <c r="D2" s="21" t="s">
        <v>386</v>
      </c>
      <c r="E2" s="22" t="s">
        <v>387</v>
      </c>
    </row>
    <row r="3" spans="1:5" ht="25" x14ac:dyDescent="0.35">
      <c r="A3" s="21" t="s">
        <v>383</v>
      </c>
      <c r="B3" s="21" t="s">
        <v>384</v>
      </c>
      <c r="C3" s="21" t="s">
        <v>388</v>
      </c>
      <c r="D3" s="21" t="s">
        <v>386</v>
      </c>
      <c r="E3" s="22" t="s">
        <v>387</v>
      </c>
    </row>
    <row r="4" spans="1:5" ht="25" x14ac:dyDescent="0.35">
      <c r="A4" s="21" t="s">
        <v>383</v>
      </c>
      <c r="B4" s="21" t="s">
        <v>389</v>
      </c>
      <c r="C4" s="21" t="s">
        <v>388</v>
      </c>
      <c r="D4" s="21" t="s">
        <v>386</v>
      </c>
      <c r="E4" s="22" t="s">
        <v>387</v>
      </c>
    </row>
    <row r="5" spans="1:5" ht="25" x14ac:dyDescent="0.35">
      <c r="A5" s="21" t="s">
        <v>383</v>
      </c>
      <c r="B5" s="21" t="s">
        <v>389</v>
      </c>
      <c r="C5" s="21" t="s">
        <v>390</v>
      </c>
      <c r="D5" s="21" t="s">
        <v>386</v>
      </c>
      <c r="E5" s="22" t="s">
        <v>387</v>
      </c>
    </row>
    <row r="6" spans="1:5" ht="25" x14ac:dyDescent="0.35">
      <c r="A6" s="21" t="s">
        <v>383</v>
      </c>
      <c r="B6" s="21" t="s">
        <v>389</v>
      </c>
      <c r="C6" s="21" t="s">
        <v>385</v>
      </c>
      <c r="D6" s="21" t="s">
        <v>386</v>
      </c>
      <c r="E6" s="22" t="s">
        <v>387</v>
      </c>
    </row>
    <row r="7" spans="1:5" ht="25" x14ac:dyDescent="0.35">
      <c r="A7" s="21" t="s">
        <v>383</v>
      </c>
      <c r="B7" s="21" t="s">
        <v>391</v>
      </c>
      <c r="C7" s="21" t="s">
        <v>388</v>
      </c>
      <c r="D7" s="21" t="s">
        <v>386</v>
      </c>
      <c r="E7" s="22" t="s">
        <v>387</v>
      </c>
    </row>
    <row r="8" spans="1:5" ht="25" x14ac:dyDescent="0.35">
      <c r="A8" s="21" t="s">
        <v>383</v>
      </c>
      <c r="B8" s="21" t="s">
        <v>391</v>
      </c>
      <c r="C8" s="21" t="s">
        <v>385</v>
      </c>
      <c r="D8" s="21" t="s">
        <v>386</v>
      </c>
      <c r="E8" s="22" t="s">
        <v>387</v>
      </c>
    </row>
    <row r="9" spans="1:5" ht="25" x14ac:dyDescent="0.35">
      <c r="A9" s="21" t="s">
        <v>383</v>
      </c>
      <c r="B9" s="21" t="s">
        <v>392</v>
      </c>
      <c r="C9" s="21" t="s">
        <v>388</v>
      </c>
      <c r="D9" s="21" t="s">
        <v>386</v>
      </c>
      <c r="E9" s="22" t="s">
        <v>387</v>
      </c>
    </row>
    <row r="10" spans="1:5" ht="25" x14ac:dyDescent="0.35">
      <c r="A10" s="21" t="s">
        <v>383</v>
      </c>
      <c r="B10" s="21" t="s">
        <v>392</v>
      </c>
      <c r="C10" s="21" t="s">
        <v>385</v>
      </c>
      <c r="D10" s="21" t="s">
        <v>386</v>
      </c>
      <c r="E10" s="22" t="s">
        <v>387</v>
      </c>
    </row>
    <row r="11" spans="1:5" ht="25" x14ac:dyDescent="0.35">
      <c r="A11" s="21" t="s">
        <v>383</v>
      </c>
      <c r="B11" s="21" t="s">
        <v>392</v>
      </c>
      <c r="C11" s="21" t="s">
        <v>393</v>
      </c>
      <c r="D11" s="21" t="s">
        <v>386</v>
      </c>
      <c r="E11" s="22" t="s">
        <v>387</v>
      </c>
    </row>
    <row r="12" spans="1:5" ht="25" x14ac:dyDescent="0.35">
      <c r="A12" s="21" t="s">
        <v>383</v>
      </c>
      <c r="B12" s="21" t="s">
        <v>394</v>
      </c>
      <c r="C12" s="21" t="s">
        <v>388</v>
      </c>
      <c r="D12" s="21" t="s">
        <v>386</v>
      </c>
      <c r="E12" s="22" t="s">
        <v>387</v>
      </c>
    </row>
    <row r="13" spans="1:5" ht="25" x14ac:dyDescent="0.35">
      <c r="A13" s="21" t="s">
        <v>383</v>
      </c>
      <c r="B13" s="21" t="s">
        <v>394</v>
      </c>
      <c r="C13" s="21" t="s">
        <v>385</v>
      </c>
      <c r="D13" s="21" t="s">
        <v>386</v>
      </c>
      <c r="E13" s="22" t="s">
        <v>387</v>
      </c>
    </row>
    <row r="14" spans="1:5" ht="25" x14ac:dyDescent="0.35">
      <c r="A14" s="21" t="s">
        <v>383</v>
      </c>
      <c r="B14" s="21" t="s">
        <v>394</v>
      </c>
      <c r="C14" s="21" t="s">
        <v>390</v>
      </c>
      <c r="D14" s="21" t="s">
        <v>386</v>
      </c>
      <c r="E14" s="22" t="s">
        <v>387</v>
      </c>
    </row>
    <row r="15" spans="1:5" ht="25" x14ac:dyDescent="0.35">
      <c r="A15" s="21" t="s">
        <v>383</v>
      </c>
      <c r="B15" s="21" t="s">
        <v>395</v>
      </c>
      <c r="C15" s="21" t="s">
        <v>388</v>
      </c>
      <c r="D15" s="21" t="s">
        <v>386</v>
      </c>
      <c r="E15" s="22" t="s">
        <v>387</v>
      </c>
    </row>
    <row r="16" spans="1:5" ht="25" x14ac:dyDescent="0.35">
      <c r="A16" s="21" t="s">
        <v>383</v>
      </c>
      <c r="B16" s="21" t="s">
        <v>395</v>
      </c>
      <c r="C16" s="21" t="s">
        <v>396</v>
      </c>
      <c r="D16" s="21" t="s">
        <v>386</v>
      </c>
      <c r="E16" s="22" t="s">
        <v>387</v>
      </c>
    </row>
    <row r="17" spans="1:5" ht="25" x14ac:dyDescent="0.35">
      <c r="A17" s="21" t="s">
        <v>383</v>
      </c>
      <c r="B17" s="21" t="s">
        <v>395</v>
      </c>
      <c r="C17" s="21" t="s">
        <v>397</v>
      </c>
      <c r="D17" s="21" t="s">
        <v>386</v>
      </c>
      <c r="E17" s="22" t="s">
        <v>387</v>
      </c>
    </row>
    <row r="18" spans="1:5" ht="25" x14ac:dyDescent="0.35">
      <c r="A18" s="21" t="s">
        <v>383</v>
      </c>
      <c r="B18" s="21" t="s">
        <v>398</v>
      </c>
      <c r="C18" s="21" t="s">
        <v>388</v>
      </c>
      <c r="D18" s="21" t="s">
        <v>386</v>
      </c>
      <c r="E18" s="22" t="s">
        <v>387</v>
      </c>
    </row>
    <row r="19" spans="1:5" ht="25" x14ac:dyDescent="0.35">
      <c r="A19" s="21" t="s">
        <v>383</v>
      </c>
      <c r="B19" s="21" t="s">
        <v>398</v>
      </c>
      <c r="C19" s="21" t="s">
        <v>385</v>
      </c>
      <c r="D19" s="21" t="s">
        <v>386</v>
      </c>
      <c r="E19" s="22" t="s">
        <v>387</v>
      </c>
    </row>
    <row r="20" spans="1:5" ht="25" x14ac:dyDescent="0.35">
      <c r="A20" s="21" t="s">
        <v>383</v>
      </c>
      <c r="B20" s="21" t="s">
        <v>398</v>
      </c>
      <c r="C20" s="21" t="s">
        <v>399</v>
      </c>
      <c r="D20" s="21" t="s">
        <v>386</v>
      </c>
      <c r="E20" s="22" t="s">
        <v>387</v>
      </c>
    </row>
    <row r="21" spans="1:5" ht="25" x14ac:dyDescent="0.35">
      <c r="A21" s="21" t="s">
        <v>383</v>
      </c>
      <c r="B21" s="21" t="s">
        <v>398</v>
      </c>
      <c r="C21" s="21" t="s">
        <v>400</v>
      </c>
      <c r="D21" s="21" t="s">
        <v>386</v>
      </c>
      <c r="E21" s="22" t="s">
        <v>387</v>
      </c>
    </row>
    <row r="22" spans="1:5" ht="25" x14ac:dyDescent="0.35">
      <c r="A22" s="21" t="s">
        <v>383</v>
      </c>
      <c r="B22" s="21" t="s">
        <v>398</v>
      </c>
      <c r="C22" s="21" t="s">
        <v>401</v>
      </c>
      <c r="D22" s="21" t="s">
        <v>386</v>
      </c>
      <c r="E22" s="22" t="s">
        <v>387</v>
      </c>
    </row>
    <row r="23" spans="1:5" x14ac:dyDescent="0.35">
      <c r="A23" s="21" t="s">
        <v>402</v>
      </c>
      <c r="B23" s="21" t="s">
        <v>403</v>
      </c>
      <c r="C23" s="21" t="s">
        <v>404</v>
      </c>
      <c r="D23" s="21" t="s">
        <v>386</v>
      </c>
      <c r="E23" s="22" t="s">
        <v>405</v>
      </c>
    </row>
    <row r="24" spans="1:5" x14ac:dyDescent="0.35">
      <c r="A24" s="21" t="s">
        <v>402</v>
      </c>
      <c r="B24" s="21" t="s">
        <v>403</v>
      </c>
      <c r="C24" s="21" t="s">
        <v>406</v>
      </c>
      <c r="D24" s="21" t="s">
        <v>386</v>
      </c>
      <c r="E24" s="22" t="s">
        <v>405</v>
      </c>
    </row>
    <row r="25" spans="1:5" x14ac:dyDescent="0.35">
      <c r="A25" s="21" t="s">
        <v>402</v>
      </c>
      <c r="B25" s="21" t="s">
        <v>407</v>
      </c>
      <c r="C25" s="21" t="s">
        <v>408</v>
      </c>
      <c r="D25" s="21" t="s">
        <v>386</v>
      </c>
      <c r="E25" s="22" t="s">
        <v>405</v>
      </c>
    </row>
    <row r="26" spans="1:5" x14ac:dyDescent="0.35">
      <c r="A26" s="21" t="s">
        <v>402</v>
      </c>
      <c r="B26" s="21" t="s">
        <v>407</v>
      </c>
      <c r="C26" s="21" t="s">
        <v>404</v>
      </c>
      <c r="D26" s="21" t="s">
        <v>386</v>
      </c>
      <c r="E26" s="22" t="s">
        <v>405</v>
      </c>
    </row>
    <row r="27" spans="1:5" x14ac:dyDescent="0.35">
      <c r="A27" s="21" t="s">
        <v>402</v>
      </c>
      <c r="B27" s="21" t="s">
        <v>407</v>
      </c>
      <c r="C27" s="21" t="s">
        <v>406</v>
      </c>
      <c r="D27" s="21" t="s">
        <v>386</v>
      </c>
      <c r="E27" s="22" t="s">
        <v>405</v>
      </c>
    </row>
    <row r="28" spans="1:5" x14ac:dyDescent="0.35">
      <c r="A28" s="21" t="s">
        <v>402</v>
      </c>
      <c r="B28" s="21" t="s">
        <v>409</v>
      </c>
      <c r="C28" s="21" t="s">
        <v>408</v>
      </c>
      <c r="D28" s="21" t="s">
        <v>386</v>
      </c>
      <c r="E28" s="22" t="s">
        <v>405</v>
      </c>
    </row>
    <row r="29" spans="1:5" x14ac:dyDescent="0.35">
      <c r="A29" s="21" t="s">
        <v>402</v>
      </c>
      <c r="B29" s="21" t="s">
        <v>409</v>
      </c>
      <c r="C29" s="21" t="s">
        <v>404</v>
      </c>
      <c r="D29" s="21" t="s">
        <v>386</v>
      </c>
      <c r="E29" s="22" t="s">
        <v>405</v>
      </c>
    </row>
    <row r="30" spans="1:5" x14ac:dyDescent="0.35">
      <c r="A30" s="21" t="s">
        <v>402</v>
      </c>
      <c r="B30" s="21" t="s">
        <v>409</v>
      </c>
      <c r="C30" s="21" t="s">
        <v>406</v>
      </c>
      <c r="D30" s="21" t="s">
        <v>386</v>
      </c>
      <c r="E30" s="22" t="s">
        <v>405</v>
      </c>
    </row>
    <row r="31" spans="1:5" x14ac:dyDescent="0.35">
      <c r="A31" s="21" t="s">
        <v>402</v>
      </c>
      <c r="B31" s="21" t="s">
        <v>410</v>
      </c>
      <c r="C31" s="21" t="s">
        <v>408</v>
      </c>
      <c r="D31" s="21" t="s">
        <v>386</v>
      </c>
      <c r="E31" s="22" t="s">
        <v>405</v>
      </c>
    </row>
    <row r="32" spans="1:5" x14ac:dyDescent="0.35">
      <c r="A32" s="21" t="s">
        <v>402</v>
      </c>
      <c r="B32" s="21" t="s">
        <v>410</v>
      </c>
      <c r="C32" s="21" t="s">
        <v>404</v>
      </c>
      <c r="D32" s="21" t="s">
        <v>386</v>
      </c>
      <c r="E32" s="22" t="s">
        <v>405</v>
      </c>
    </row>
    <row r="33" spans="1:5" x14ac:dyDescent="0.35">
      <c r="A33" s="21" t="s">
        <v>402</v>
      </c>
      <c r="B33" s="21" t="s">
        <v>410</v>
      </c>
      <c r="C33" s="21" t="s">
        <v>406</v>
      </c>
      <c r="D33" s="21" t="s">
        <v>386</v>
      </c>
      <c r="E33" s="22" t="s">
        <v>405</v>
      </c>
    </row>
    <row r="34" spans="1:5" x14ac:dyDescent="0.35">
      <c r="A34" s="21" t="s">
        <v>402</v>
      </c>
      <c r="B34" s="21" t="s">
        <v>411</v>
      </c>
      <c r="C34" s="21" t="s">
        <v>408</v>
      </c>
      <c r="D34" s="21" t="s">
        <v>386</v>
      </c>
      <c r="E34" s="22" t="s">
        <v>405</v>
      </c>
    </row>
    <row r="35" spans="1:5" x14ac:dyDescent="0.35">
      <c r="A35" s="21" t="s">
        <v>402</v>
      </c>
      <c r="B35" s="21" t="s">
        <v>411</v>
      </c>
      <c r="C35" s="21" t="s">
        <v>404</v>
      </c>
      <c r="D35" s="21" t="s">
        <v>386</v>
      </c>
      <c r="E35" s="22" t="s">
        <v>405</v>
      </c>
    </row>
    <row r="36" spans="1:5" x14ac:dyDescent="0.35">
      <c r="A36" s="21" t="s">
        <v>402</v>
      </c>
      <c r="B36" s="21" t="s">
        <v>412</v>
      </c>
      <c r="C36" s="21" t="s">
        <v>404</v>
      </c>
      <c r="D36" s="21" t="s">
        <v>386</v>
      </c>
      <c r="E36" s="22" t="s">
        <v>405</v>
      </c>
    </row>
    <row r="37" spans="1:5" x14ac:dyDescent="0.35">
      <c r="A37" s="21" t="s">
        <v>402</v>
      </c>
      <c r="B37" s="21" t="s">
        <v>412</v>
      </c>
      <c r="C37" s="21" t="s">
        <v>406</v>
      </c>
      <c r="D37" s="21" t="s">
        <v>386</v>
      </c>
      <c r="E37" s="22" t="s">
        <v>405</v>
      </c>
    </row>
    <row r="38" spans="1:5" x14ac:dyDescent="0.35">
      <c r="A38" s="21" t="s">
        <v>402</v>
      </c>
      <c r="B38" s="21" t="s">
        <v>413</v>
      </c>
      <c r="C38" s="21" t="s">
        <v>404</v>
      </c>
      <c r="D38" s="21" t="s">
        <v>386</v>
      </c>
      <c r="E38" s="22" t="s">
        <v>405</v>
      </c>
    </row>
    <row r="39" spans="1:5" x14ac:dyDescent="0.35">
      <c r="A39" s="21" t="s">
        <v>402</v>
      </c>
      <c r="B39" s="21" t="s">
        <v>413</v>
      </c>
      <c r="C39" s="21" t="s">
        <v>406</v>
      </c>
      <c r="D39" s="21" t="s">
        <v>386</v>
      </c>
      <c r="E39" s="22" t="s">
        <v>405</v>
      </c>
    </row>
    <row r="40" spans="1:5" x14ac:dyDescent="0.35">
      <c r="A40" s="21" t="s">
        <v>402</v>
      </c>
      <c r="B40" s="21" t="s">
        <v>414</v>
      </c>
      <c r="C40" s="21" t="s">
        <v>406</v>
      </c>
      <c r="D40" s="21" t="s">
        <v>386</v>
      </c>
      <c r="E40" s="22" t="s">
        <v>405</v>
      </c>
    </row>
    <row r="41" spans="1:5" x14ac:dyDescent="0.35">
      <c r="A41" s="21" t="s">
        <v>402</v>
      </c>
      <c r="B41" s="21" t="s">
        <v>415</v>
      </c>
      <c r="C41" s="21" t="s">
        <v>404</v>
      </c>
      <c r="D41" s="21" t="s">
        <v>386</v>
      </c>
      <c r="E41" s="22" t="s">
        <v>405</v>
      </c>
    </row>
    <row r="42" spans="1:5" x14ac:dyDescent="0.35">
      <c r="A42" s="21" t="s">
        <v>402</v>
      </c>
      <c r="B42" s="21" t="s">
        <v>415</v>
      </c>
      <c r="C42" s="21" t="s">
        <v>406</v>
      </c>
      <c r="D42" s="21" t="s">
        <v>386</v>
      </c>
      <c r="E42" s="22" t="s">
        <v>405</v>
      </c>
    </row>
    <row r="43" spans="1:5" x14ac:dyDescent="0.35">
      <c r="A43" s="21" t="s">
        <v>402</v>
      </c>
      <c r="B43" s="21" t="s">
        <v>416</v>
      </c>
      <c r="C43" s="21" t="s">
        <v>406</v>
      </c>
      <c r="D43" s="21" t="s">
        <v>386</v>
      </c>
      <c r="E43" s="22" t="s">
        <v>405</v>
      </c>
    </row>
    <row r="44" spans="1:5" x14ac:dyDescent="0.35">
      <c r="A44" s="21" t="s">
        <v>402</v>
      </c>
      <c r="B44" s="21" t="s">
        <v>417</v>
      </c>
      <c r="C44" s="21" t="s">
        <v>418</v>
      </c>
      <c r="D44" s="21" t="s">
        <v>386</v>
      </c>
      <c r="E44" s="22" t="s">
        <v>405</v>
      </c>
    </row>
    <row r="45" spans="1:5" x14ac:dyDescent="0.35">
      <c r="A45" s="21" t="s">
        <v>402</v>
      </c>
      <c r="B45" s="21" t="s">
        <v>417</v>
      </c>
      <c r="C45" s="21" t="s">
        <v>404</v>
      </c>
      <c r="D45" s="21" t="s">
        <v>386</v>
      </c>
      <c r="E45" s="22" t="s">
        <v>405</v>
      </c>
    </row>
    <row r="46" spans="1:5" x14ac:dyDescent="0.35">
      <c r="A46" s="21" t="s">
        <v>402</v>
      </c>
      <c r="B46" s="21" t="s">
        <v>417</v>
      </c>
      <c r="C46" s="21" t="s">
        <v>406</v>
      </c>
      <c r="D46" s="21" t="s">
        <v>386</v>
      </c>
      <c r="E46" s="22" t="s">
        <v>405</v>
      </c>
    </row>
    <row r="47" spans="1:5" x14ac:dyDescent="0.35">
      <c r="A47" s="21" t="s">
        <v>419</v>
      </c>
      <c r="B47" s="21" t="s">
        <v>420</v>
      </c>
      <c r="C47" s="21" t="s">
        <v>421</v>
      </c>
      <c r="D47" s="21" t="s">
        <v>386</v>
      </c>
      <c r="E47" s="22" t="s">
        <v>422</v>
      </c>
    </row>
    <row r="48" spans="1:5" x14ac:dyDescent="0.35">
      <c r="A48" s="21" t="s">
        <v>419</v>
      </c>
      <c r="B48" s="21" t="s">
        <v>423</v>
      </c>
      <c r="C48" s="21" t="s">
        <v>424</v>
      </c>
      <c r="D48" s="21" t="s">
        <v>386</v>
      </c>
      <c r="E48" s="22" t="s">
        <v>422</v>
      </c>
    </row>
    <row r="49" spans="1:5" x14ac:dyDescent="0.35">
      <c r="A49" s="21" t="s">
        <v>419</v>
      </c>
      <c r="B49" s="21" t="s">
        <v>425</v>
      </c>
      <c r="C49" s="21" t="s">
        <v>410</v>
      </c>
      <c r="D49" s="21" t="s">
        <v>386</v>
      </c>
      <c r="E49" s="22" t="s">
        <v>422</v>
      </c>
    </row>
    <row r="50" spans="1:5" x14ac:dyDescent="0.35">
      <c r="A50" s="21" t="s">
        <v>419</v>
      </c>
      <c r="B50" s="21" t="s">
        <v>425</v>
      </c>
      <c r="C50" s="21" t="s">
        <v>421</v>
      </c>
      <c r="D50" s="21" t="s">
        <v>386</v>
      </c>
      <c r="E50" s="22" t="s">
        <v>422</v>
      </c>
    </row>
    <row r="51" spans="1:5" x14ac:dyDescent="0.35">
      <c r="A51" s="21" t="s">
        <v>419</v>
      </c>
      <c r="B51" s="21" t="s">
        <v>426</v>
      </c>
      <c r="C51" s="21" t="s">
        <v>421</v>
      </c>
      <c r="D51" s="21" t="s">
        <v>386</v>
      </c>
      <c r="E51" s="22" t="s">
        <v>422</v>
      </c>
    </row>
    <row r="52" spans="1:5" x14ac:dyDescent="0.35">
      <c r="A52" s="21" t="s">
        <v>419</v>
      </c>
      <c r="B52" s="21" t="s">
        <v>427</v>
      </c>
      <c r="C52" s="21" t="s">
        <v>421</v>
      </c>
      <c r="D52" s="21" t="s">
        <v>386</v>
      </c>
      <c r="E52" s="22" t="s">
        <v>422</v>
      </c>
    </row>
    <row r="53" spans="1:5" x14ac:dyDescent="0.35">
      <c r="A53" s="21" t="s">
        <v>419</v>
      </c>
      <c r="B53" s="21" t="s">
        <v>428</v>
      </c>
      <c r="C53" s="21" t="s">
        <v>421</v>
      </c>
      <c r="D53" s="21" t="s">
        <v>386</v>
      </c>
      <c r="E53" s="22" t="s">
        <v>422</v>
      </c>
    </row>
    <row r="54" spans="1:5" x14ac:dyDescent="0.35">
      <c r="A54" s="21" t="s">
        <v>419</v>
      </c>
      <c r="B54" s="21" t="s">
        <v>429</v>
      </c>
      <c r="C54" s="21" t="s">
        <v>430</v>
      </c>
      <c r="D54" s="21" t="s">
        <v>386</v>
      </c>
      <c r="E54" s="22" t="s">
        <v>422</v>
      </c>
    </row>
    <row r="55" spans="1:5" x14ac:dyDescent="0.35">
      <c r="A55" s="21" t="s">
        <v>419</v>
      </c>
      <c r="B55" s="21" t="s">
        <v>429</v>
      </c>
      <c r="C55" s="21" t="s">
        <v>424</v>
      </c>
      <c r="D55" s="21" t="s">
        <v>386</v>
      </c>
      <c r="E55" s="22" t="s">
        <v>422</v>
      </c>
    </row>
    <row r="56" spans="1:5" x14ac:dyDescent="0.35">
      <c r="A56" s="21" t="s">
        <v>419</v>
      </c>
      <c r="B56" s="21" t="s">
        <v>431</v>
      </c>
      <c r="C56" s="21" t="s">
        <v>430</v>
      </c>
      <c r="D56" s="21" t="s">
        <v>386</v>
      </c>
      <c r="E56" s="22" t="s">
        <v>422</v>
      </c>
    </row>
    <row r="57" spans="1:5" x14ac:dyDescent="0.35">
      <c r="A57" s="21" t="s">
        <v>419</v>
      </c>
      <c r="B57" s="21" t="s">
        <v>431</v>
      </c>
      <c r="C57" s="21" t="s">
        <v>424</v>
      </c>
      <c r="D57" s="21" t="s">
        <v>386</v>
      </c>
      <c r="E57" s="22" t="s">
        <v>422</v>
      </c>
    </row>
    <row r="58" spans="1:5" x14ac:dyDescent="0.35">
      <c r="A58" s="21" t="s">
        <v>383</v>
      </c>
      <c r="B58" s="21" t="s">
        <v>400</v>
      </c>
      <c r="C58" s="21" t="s">
        <v>399</v>
      </c>
      <c r="D58" s="21" t="s">
        <v>386</v>
      </c>
      <c r="E58" s="22" t="s">
        <v>432</v>
      </c>
    </row>
    <row r="59" spans="1:5" x14ac:dyDescent="0.35">
      <c r="A59" s="23" t="s">
        <v>433</v>
      </c>
      <c r="B59" s="23" t="s">
        <v>434</v>
      </c>
      <c r="C59" s="23" t="s">
        <v>435</v>
      </c>
      <c r="D59" s="23" t="s">
        <v>436</v>
      </c>
      <c r="E59" s="22" t="s">
        <v>51</v>
      </c>
    </row>
    <row r="60" spans="1:5" x14ac:dyDescent="0.35">
      <c r="A60" s="23" t="s">
        <v>433</v>
      </c>
      <c r="B60" s="23" t="s">
        <v>437</v>
      </c>
      <c r="C60" s="23" t="s">
        <v>438</v>
      </c>
      <c r="D60" s="23" t="s">
        <v>436</v>
      </c>
      <c r="E60" s="22" t="s">
        <v>51</v>
      </c>
    </row>
    <row r="61" spans="1:5" x14ac:dyDescent="0.35">
      <c r="A61" s="23" t="s">
        <v>433</v>
      </c>
      <c r="B61" s="23" t="s">
        <v>88</v>
      </c>
      <c r="C61" s="23" t="s">
        <v>439</v>
      </c>
      <c r="D61" s="23" t="s">
        <v>436</v>
      </c>
      <c r="E61" s="22" t="s">
        <v>51</v>
      </c>
    </row>
    <row r="62" spans="1:5" ht="25" x14ac:dyDescent="0.35">
      <c r="A62" s="23" t="s">
        <v>433</v>
      </c>
      <c r="B62" s="23" t="s">
        <v>440</v>
      </c>
      <c r="C62" s="23" t="s">
        <v>441</v>
      </c>
      <c r="D62" s="23" t="s">
        <v>436</v>
      </c>
      <c r="E62" s="22" t="s">
        <v>432</v>
      </c>
    </row>
    <row r="63" spans="1:5" ht="25" x14ac:dyDescent="0.35">
      <c r="A63" s="23" t="s">
        <v>433</v>
      </c>
      <c r="B63" s="23" t="s">
        <v>442</v>
      </c>
      <c r="C63" s="23" t="s">
        <v>443</v>
      </c>
      <c r="D63" s="23" t="s">
        <v>436</v>
      </c>
      <c r="E63" s="22" t="s">
        <v>51</v>
      </c>
    </row>
  </sheetData>
  <autoFilter ref="A1:E63" xr:uid="{00000000-0009-0000-0000-000006000000}"/>
  <hyperlinks>
    <hyperlink ref="E2" r:id="rId1" xr:uid="{00000000-0004-0000-0600-000000000000}"/>
    <hyperlink ref="E3" r:id="rId2" xr:uid="{00000000-0004-0000-0600-000001000000}"/>
    <hyperlink ref="E4" r:id="rId3" xr:uid="{00000000-0004-0000-0600-000002000000}"/>
    <hyperlink ref="E5" r:id="rId4" xr:uid="{00000000-0004-0000-0600-000003000000}"/>
    <hyperlink ref="E6" r:id="rId5" xr:uid="{00000000-0004-0000-0600-000004000000}"/>
    <hyperlink ref="E7" r:id="rId6" xr:uid="{00000000-0004-0000-0600-000005000000}"/>
    <hyperlink ref="E8" r:id="rId7" xr:uid="{00000000-0004-0000-0600-000006000000}"/>
    <hyperlink ref="E9" r:id="rId8" xr:uid="{00000000-0004-0000-0600-000007000000}"/>
    <hyperlink ref="E10" r:id="rId9" xr:uid="{00000000-0004-0000-0600-000008000000}"/>
    <hyperlink ref="E11" r:id="rId10" xr:uid="{00000000-0004-0000-0600-000009000000}"/>
    <hyperlink ref="E12" r:id="rId11" xr:uid="{00000000-0004-0000-0600-00000A000000}"/>
    <hyperlink ref="E13" r:id="rId12" xr:uid="{00000000-0004-0000-0600-00000B000000}"/>
    <hyperlink ref="E14" r:id="rId13" xr:uid="{00000000-0004-0000-0600-00000C000000}"/>
    <hyperlink ref="E15" r:id="rId14" xr:uid="{00000000-0004-0000-0600-00000D000000}"/>
    <hyperlink ref="E16" r:id="rId15" xr:uid="{00000000-0004-0000-0600-00000E000000}"/>
    <hyperlink ref="E17" r:id="rId16" xr:uid="{00000000-0004-0000-0600-00000F000000}"/>
    <hyperlink ref="E18" r:id="rId17" xr:uid="{00000000-0004-0000-0600-000010000000}"/>
    <hyperlink ref="E19" r:id="rId18" xr:uid="{00000000-0004-0000-0600-000011000000}"/>
    <hyperlink ref="E20" r:id="rId19" xr:uid="{00000000-0004-0000-0600-000012000000}"/>
    <hyperlink ref="E21" r:id="rId20" xr:uid="{00000000-0004-0000-0600-000013000000}"/>
    <hyperlink ref="E22" r:id="rId21" xr:uid="{00000000-0004-0000-0600-000014000000}"/>
    <hyperlink ref="E23" r:id="rId22" xr:uid="{00000000-0004-0000-0600-000015000000}"/>
    <hyperlink ref="E24" r:id="rId23" xr:uid="{00000000-0004-0000-0600-000016000000}"/>
    <hyperlink ref="E25" r:id="rId24" xr:uid="{00000000-0004-0000-0600-000017000000}"/>
    <hyperlink ref="E26" r:id="rId25" xr:uid="{00000000-0004-0000-0600-000018000000}"/>
    <hyperlink ref="E27" r:id="rId26" xr:uid="{00000000-0004-0000-0600-000019000000}"/>
    <hyperlink ref="E28" r:id="rId27" xr:uid="{00000000-0004-0000-0600-00001A000000}"/>
    <hyperlink ref="E29" r:id="rId28" xr:uid="{00000000-0004-0000-0600-00001B000000}"/>
    <hyperlink ref="E30" r:id="rId29" xr:uid="{00000000-0004-0000-0600-00001C000000}"/>
    <hyperlink ref="E31" r:id="rId30" xr:uid="{00000000-0004-0000-0600-00001D000000}"/>
    <hyperlink ref="E32" r:id="rId31" xr:uid="{00000000-0004-0000-0600-00001E000000}"/>
    <hyperlink ref="E33" r:id="rId32" xr:uid="{00000000-0004-0000-0600-00001F000000}"/>
    <hyperlink ref="E34" r:id="rId33" xr:uid="{00000000-0004-0000-0600-000020000000}"/>
    <hyperlink ref="E35" r:id="rId34" xr:uid="{00000000-0004-0000-0600-000021000000}"/>
    <hyperlink ref="E36" r:id="rId35" xr:uid="{00000000-0004-0000-0600-000022000000}"/>
    <hyperlink ref="E37" r:id="rId36" xr:uid="{00000000-0004-0000-0600-000023000000}"/>
    <hyperlink ref="E38" r:id="rId37" xr:uid="{00000000-0004-0000-0600-000024000000}"/>
    <hyperlink ref="E39" r:id="rId38" xr:uid="{00000000-0004-0000-0600-000025000000}"/>
    <hyperlink ref="E40" r:id="rId39" xr:uid="{00000000-0004-0000-0600-000026000000}"/>
    <hyperlink ref="E41" r:id="rId40" xr:uid="{00000000-0004-0000-0600-000027000000}"/>
    <hyperlink ref="E42" r:id="rId41" xr:uid="{00000000-0004-0000-0600-000028000000}"/>
    <hyperlink ref="E43" r:id="rId42" xr:uid="{00000000-0004-0000-0600-000029000000}"/>
    <hyperlink ref="E44" r:id="rId43" xr:uid="{00000000-0004-0000-0600-00002A000000}"/>
    <hyperlink ref="E45" r:id="rId44" xr:uid="{00000000-0004-0000-0600-00002B000000}"/>
    <hyperlink ref="E46" r:id="rId45" xr:uid="{00000000-0004-0000-0600-00002C000000}"/>
    <hyperlink ref="E47" r:id="rId46" xr:uid="{00000000-0004-0000-0600-00002D000000}"/>
    <hyperlink ref="E48" r:id="rId47" xr:uid="{00000000-0004-0000-0600-00002E000000}"/>
    <hyperlink ref="E49" r:id="rId48" xr:uid="{00000000-0004-0000-0600-00002F000000}"/>
    <hyperlink ref="E50" r:id="rId49" xr:uid="{00000000-0004-0000-0600-000030000000}"/>
    <hyperlink ref="E51" r:id="rId50" xr:uid="{00000000-0004-0000-0600-000031000000}"/>
    <hyperlink ref="E52" r:id="rId51" xr:uid="{00000000-0004-0000-0600-000032000000}"/>
    <hyperlink ref="E53" r:id="rId52" xr:uid="{00000000-0004-0000-0600-000033000000}"/>
    <hyperlink ref="E54" r:id="rId53" xr:uid="{00000000-0004-0000-0600-000034000000}"/>
    <hyperlink ref="E55" r:id="rId54" xr:uid="{00000000-0004-0000-0600-000035000000}"/>
    <hyperlink ref="E56" r:id="rId55" xr:uid="{00000000-0004-0000-0600-000036000000}"/>
    <hyperlink ref="E57" r:id="rId56" xr:uid="{00000000-0004-0000-0600-000037000000}"/>
    <hyperlink ref="E58" r:id="rId57" xr:uid="{00000000-0004-0000-0600-000038000000}"/>
    <hyperlink ref="E59" r:id="rId58" xr:uid="{00000000-0004-0000-0600-000039000000}"/>
    <hyperlink ref="E60" r:id="rId59" xr:uid="{00000000-0004-0000-0600-00003A000000}"/>
    <hyperlink ref="E61" r:id="rId60" xr:uid="{00000000-0004-0000-0600-00003B000000}"/>
    <hyperlink ref="E62" r:id="rId61" xr:uid="{00000000-0004-0000-0600-00003C000000}"/>
    <hyperlink ref="E63" r:id="rId62" xr:uid="{00000000-0004-0000-0600-00003D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34"/>
  <sheetViews>
    <sheetView workbookViewId="0">
      <pane ySplit="1" topLeftCell="A2" activePane="bottomLeft" state="frozen"/>
      <selection pane="bottomLeft"/>
    </sheetView>
  </sheetViews>
  <sheetFormatPr defaultRowHeight="14.5" x14ac:dyDescent="0.35"/>
  <cols>
    <col min="1" max="1" width="26" customWidth="1"/>
    <col min="2" max="2" width="70" customWidth="1"/>
    <col min="3" max="3" width="54" customWidth="1"/>
    <col min="4" max="4" width="24" customWidth="1"/>
  </cols>
  <sheetData>
    <row r="1" spans="1:4" ht="30" customHeight="1" x14ac:dyDescent="0.35">
      <c r="A1" s="7" t="s">
        <v>379</v>
      </c>
      <c r="B1" s="7" t="s">
        <v>444</v>
      </c>
      <c r="C1" s="7" t="s">
        <v>445</v>
      </c>
      <c r="D1" s="7" t="s">
        <v>381</v>
      </c>
    </row>
    <row r="2" spans="1:4" x14ac:dyDescent="0.35">
      <c r="A2" s="9" t="s">
        <v>402</v>
      </c>
      <c r="B2" s="24" t="s">
        <v>404</v>
      </c>
      <c r="C2" s="25"/>
      <c r="D2" s="26"/>
    </row>
    <row r="3" spans="1:4" x14ac:dyDescent="0.35">
      <c r="A3" s="15" t="s">
        <v>402</v>
      </c>
      <c r="B3" s="27" t="s">
        <v>446</v>
      </c>
      <c r="C3" s="21" t="s">
        <v>408</v>
      </c>
      <c r="D3" s="15" t="s">
        <v>386</v>
      </c>
    </row>
    <row r="4" spans="1:4" x14ac:dyDescent="0.35">
      <c r="A4" s="9" t="s">
        <v>402</v>
      </c>
      <c r="B4" s="24" t="s">
        <v>406</v>
      </c>
      <c r="C4" s="25"/>
      <c r="D4" s="26"/>
    </row>
    <row r="5" spans="1:4" x14ac:dyDescent="0.35">
      <c r="A5" s="15" t="s">
        <v>402</v>
      </c>
      <c r="B5" s="27" t="s">
        <v>447</v>
      </c>
      <c r="C5" s="21" t="s">
        <v>404</v>
      </c>
      <c r="D5" s="15" t="s">
        <v>386</v>
      </c>
    </row>
    <row r="6" spans="1:4" x14ac:dyDescent="0.35">
      <c r="A6" s="15" t="s">
        <v>402</v>
      </c>
      <c r="B6" s="27" t="s">
        <v>448</v>
      </c>
      <c r="C6" s="21" t="s">
        <v>449</v>
      </c>
      <c r="D6" s="15" t="s">
        <v>386</v>
      </c>
    </row>
    <row r="7" spans="1:4" x14ac:dyDescent="0.35">
      <c r="A7" s="15" t="s">
        <v>402</v>
      </c>
      <c r="B7" s="27" t="s">
        <v>450</v>
      </c>
      <c r="C7" s="21" t="s">
        <v>449</v>
      </c>
      <c r="D7" s="15" t="s">
        <v>386</v>
      </c>
    </row>
    <row r="8" spans="1:4" x14ac:dyDescent="0.35">
      <c r="A8" s="15" t="s">
        <v>402</v>
      </c>
      <c r="B8" s="27" t="s">
        <v>451</v>
      </c>
      <c r="C8" s="21" t="s">
        <v>449</v>
      </c>
      <c r="D8" s="15" t="s">
        <v>386</v>
      </c>
    </row>
    <row r="9" spans="1:4" x14ac:dyDescent="0.35">
      <c r="A9" s="15" t="s">
        <v>419</v>
      </c>
      <c r="B9" s="28" t="s">
        <v>452</v>
      </c>
      <c r="C9" s="21" t="s">
        <v>421</v>
      </c>
      <c r="D9" s="15" t="s">
        <v>386</v>
      </c>
    </row>
    <row r="10" spans="1:4" x14ac:dyDescent="0.35">
      <c r="A10" s="15" t="s">
        <v>402</v>
      </c>
      <c r="B10" s="27" t="s">
        <v>453</v>
      </c>
      <c r="C10" s="21" t="s">
        <v>404</v>
      </c>
      <c r="D10" s="15" t="s">
        <v>386</v>
      </c>
    </row>
    <row r="11" spans="1:4" x14ac:dyDescent="0.35">
      <c r="A11" s="15" t="s">
        <v>402</v>
      </c>
      <c r="B11" s="27" t="s">
        <v>454</v>
      </c>
      <c r="C11" s="21" t="s">
        <v>404</v>
      </c>
      <c r="D11" s="15" t="s">
        <v>386</v>
      </c>
    </row>
    <row r="12" spans="1:4" x14ac:dyDescent="0.35">
      <c r="A12" s="15" t="s">
        <v>402</v>
      </c>
      <c r="B12" s="27" t="s">
        <v>455</v>
      </c>
      <c r="C12" s="25"/>
      <c r="D12" s="15" t="s">
        <v>386</v>
      </c>
    </row>
    <row r="13" spans="1:4" x14ac:dyDescent="0.35">
      <c r="A13" s="15" t="s">
        <v>402</v>
      </c>
      <c r="B13" s="27" t="s">
        <v>456</v>
      </c>
      <c r="C13" s="21" t="s">
        <v>404</v>
      </c>
      <c r="D13" s="15" t="s">
        <v>386</v>
      </c>
    </row>
    <row r="14" spans="1:4" x14ac:dyDescent="0.35">
      <c r="A14" s="15" t="s">
        <v>402</v>
      </c>
      <c r="B14" s="27" t="s">
        <v>457</v>
      </c>
      <c r="C14" s="25"/>
      <c r="D14" s="15" t="s">
        <v>386</v>
      </c>
    </row>
    <row r="15" spans="1:4" x14ac:dyDescent="0.35">
      <c r="A15" s="15" t="s">
        <v>402</v>
      </c>
      <c r="B15" s="27" t="s">
        <v>458</v>
      </c>
      <c r="C15" s="21" t="s">
        <v>459</v>
      </c>
      <c r="D15" s="15" t="s">
        <v>386</v>
      </c>
    </row>
    <row r="16" spans="1:4" x14ac:dyDescent="0.35">
      <c r="A16" s="9" t="s">
        <v>419</v>
      </c>
      <c r="B16" s="24" t="s">
        <v>421</v>
      </c>
      <c r="C16" s="25"/>
      <c r="D16" s="26"/>
    </row>
    <row r="17" spans="1:4" x14ac:dyDescent="0.35">
      <c r="A17" s="15" t="s">
        <v>419</v>
      </c>
      <c r="B17" s="27" t="s">
        <v>460</v>
      </c>
      <c r="C17" s="25"/>
      <c r="D17" s="15" t="s">
        <v>386</v>
      </c>
    </row>
    <row r="18" spans="1:4" x14ac:dyDescent="0.35">
      <c r="A18" s="15" t="s">
        <v>419</v>
      </c>
      <c r="B18" s="27" t="s">
        <v>461</v>
      </c>
      <c r="C18" s="25"/>
      <c r="D18" s="15" t="s">
        <v>386</v>
      </c>
    </row>
    <row r="19" spans="1:4" x14ac:dyDescent="0.35">
      <c r="A19" s="15" t="s">
        <v>419</v>
      </c>
      <c r="B19" s="27" t="s">
        <v>462</v>
      </c>
      <c r="C19" s="25"/>
      <c r="D19" s="15" t="s">
        <v>386</v>
      </c>
    </row>
    <row r="20" spans="1:4" x14ac:dyDescent="0.35">
      <c r="A20" s="15" t="s">
        <v>419</v>
      </c>
      <c r="B20" s="27" t="s">
        <v>463</v>
      </c>
      <c r="C20" s="25"/>
      <c r="D20" s="15" t="s">
        <v>386</v>
      </c>
    </row>
    <row r="21" spans="1:4" x14ac:dyDescent="0.35">
      <c r="A21" s="9" t="s">
        <v>419</v>
      </c>
      <c r="B21" s="24" t="s">
        <v>424</v>
      </c>
      <c r="C21" s="25"/>
      <c r="D21" s="26"/>
    </row>
    <row r="22" spans="1:4" x14ac:dyDescent="0.35">
      <c r="A22" s="15" t="s">
        <v>419</v>
      </c>
      <c r="B22" s="27" t="s">
        <v>464</v>
      </c>
      <c r="C22" s="21" t="s">
        <v>430</v>
      </c>
      <c r="D22" s="15" t="s">
        <v>386</v>
      </c>
    </row>
    <row r="23" spans="1:4" x14ac:dyDescent="0.35">
      <c r="A23" s="15" t="s">
        <v>419</v>
      </c>
      <c r="B23" s="27" t="s">
        <v>465</v>
      </c>
      <c r="C23" s="21" t="s">
        <v>430</v>
      </c>
      <c r="D23" s="15" t="s">
        <v>386</v>
      </c>
    </row>
    <row r="24" spans="1:4" x14ac:dyDescent="0.35">
      <c r="A24" s="15" t="s">
        <v>419</v>
      </c>
      <c r="B24" s="27" t="s">
        <v>466</v>
      </c>
      <c r="C24" s="25"/>
      <c r="D24" s="15" t="s">
        <v>386</v>
      </c>
    </row>
    <row r="25" spans="1:4" x14ac:dyDescent="0.35">
      <c r="A25" s="9" t="s">
        <v>383</v>
      </c>
      <c r="B25" s="24" t="s">
        <v>388</v>
      </c>
      <c r="C25" s="25"/>
      <c r="D25" s="26"/>
    </row>
    <row r="26" spans="1:4" x14ac:dyDescent="0.35">
      <c r="A26" s="15" t="s">
        <v>383</v>
      </c>
      <c r="B26" s="27" t="s">
        <v>467</v>
      </c>
      <c r="C26" s="21" t="s">
        <v>385</v>
      </c>
      <c r="D26" s="15" t="s">
        <v>386</v>
      </c>
    </row>
    <row r="27" spans="1:4" x14ac:dyDescent="0.35">
      <c r="A27" s="15" t="s">
        <v>383</v>
      </c>
      <c r="B27" s="27" t="s">
        <v>468</v>
      </c>
      <c r="C27" s="21" t="s">
        <v>469</v>
      </c>
      <c r="D27" s="15" t="s">
        <v>386</v>
      </c>
    </row>
    <row r="28" spans="1:4" x14ac:dyDescent="0.35">
      <c r="A28" s="15" t="s">
        <v>383</v>
      </c>
      <c r="B28" s="27" t="s">
        <v>470</v>
      </c>
      <c r="C28" s="21" t="s">
        <v>471</v>
      </c>
      <c r="D28" s="15" t="s">
        <v>386</v>
      </c>
    </row>
    <row r="29" spans="1:4" x14ac:dyDescent="0.35">
      <c r="A29" s="15" t="s">
        <v>383</v>
      </c>
      <c r="B29" s="27" t="s">
        <v>472</v>
      </c>
      <c r="C29" s="21" t="s">
        <v>385</v>
      </c>
      <c r="D29" s="15" t="s">
        <v>386</v>
      </c>
    </row>
    <row r="30" spans="1:4" x14ac:dyDescent="0.35">
      <c r="A30" s="15" t="s">
        <v>383</v>
      </c>
      <c r="B30" s="27" t="s">
        <v>473</v>
      </c>
      <c r="C30" s="21" t="s">
        <v>474</v>
      </c>
      <c r="D30" s="15" t="s">
        <v>386</v>
      </c>
    </row>
    <row r="31" spans="1:4" x14ac:dyDescent="0.35">
      <c r="A31" s="15" t="s">
        <v>383</v>
      </c>
      <c r="B31" s="27" t="s">
        <v>475</v>
      </c>
      <c r="C31" s="21" t="s">
        <v>476</v>
      </c>
      <c r="D31" s="15" t="s">
        <v>386</v>
      </c>
    </row>
    <row r="32" spans="1:4" x14ac:dyDescent="0.35">
      <c r="A32" s="9" t="s">
        <v>383</v>
      </c>
      <c r="B32" s="24" t="s">
        <v>399</v>
      </c>
      <c r="C32" s="25"/>
      <c r="D32" s="26"/>
    </row>
    <row r="33" spans="1:4" x14ac:dyDescent="0.35">
      <c r="A33" s="15" t="s">
        <v>383</v>
      </c>
      <c r="B33" s="27" t="s">
        <v>477</v>
      </c>
      <c r="C33" s="25"/>
      <c r="D33" s="15" t="s">
        <v>386</v>
      </c>
    </row>
    <row r="34" spans="1:4" ht="25" x14ac:dyDescent="0.35">
      <c r="A34" s="15" t="s">
        <v>383</v>
      </c>
      <c r="B34" s="28" t="s">
        <v>478</v>
      </c>
      <c r="C34" s="21" t="s">
        <v>479</v>
      </c>
      <c r="D34" s="15" t="s">
        <v>386</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66"/>
  <sheetViews>
    <sheetView workbookViewId="0">
      <pane xSplit="3" ySplit="1" topLeftCell="D2" activePane="bottomRight" state="frozen"/>
      <selection pane="topRight"/>
      <selection pane="bottomLeft"/>
      <selection pane="bottomRight"/>
    </sheetView>
  </sheetViews>
  <sheetFormatPr defaultRowHeight="14.5" x14ac:dyDescent="0.35"/>
  <cols>
    <col min="1" max="1" width="24" customWidth="1"/>
    <col min="2" max="2" width="8" customWidth="1"/>
    <col min="3" max="3" width="36" customWidth="1"/>
    <col min="4" max="4" width="40" customWidth="1"/>
    <col min="5" max="5" width="80" customWidth="1"/>
    <col min="6" max="6" width="46" customWidth="1"/>
    <col min="7" max="7" width="34" customWidth="1"/>
  </cols>
  <sheetData>
    <row r="1" spans="1:7" ht="30" customHeight="1" x14ac:dyDescent="0.35">
      <c r="A1" s="7" t="s">
        <v>379</v>
      </c>
      <c r="B1" s="7" t="s">
        <v>480</v>
      </c>
      <c r="C1" s="7" t="s">
        <v>481</v>
      </c>
      <c r="D1" s="7" t="s">
        <v>482</v>
      </c>
      <c r="E1" s="7" t="s">
        <v>483</v>
      </c>
      <c r="F1" s="7" t="s">
        <v>484</v>
      </c>
      <c r="G1" s="7" t="s">
        <v>382</v>
      </c>
    </row>
    <row r="2" spans="1:7" x14ac:dyDescent="0.35">
      <c r="A2" s="21" t="s">
        <v>485</v>
      </c>
      <c r="B2" s="21" t="s">
        <v>486</v>
      </c>
      <c r="C2" s="21" t="s">
        <v>487</v>
      </c>
      <c r="D2" s="25"/>
      <c r="E2" s="21" t="s">
        <v>488</v>
      </c>
      <c r="F2" s="25"/>
      <c r="G2" s="22" t="s">
        <v>69</v>
      </c>
    </row>
    <row r="3" spans="1:7" x14ac:dyDescent="0.35">
      <c r="A3" s="21" t="s">
        <v>485</v>
      </c>
      <c r="B3" s="21" t="s">
        <v>486</v>
      </c>
      <c r="C3" s="21" t="s">
        <v>489</v>
      </c>
      <c r="D3" s="25"/>
      <c r="E3" s="21" t="s">
        <v>490</v>
      </c>
      <c r="F3" s="25"/>
      <c r="G3" s="22" t="s">
        <v>69</v>
      </c>
    </row>
    <row r="4" spans="1:7" x14ac:dyDescent="0.35">
      <c r="A4" s="21" t="s">
        <v>485</v>
      </c>
      <c r="B4" s="21" t="s">
        <v>486</v>
      </c>
      <c r="C4" s="21" t="s">
        <v>491</v>
      </c>
      <c r="D4" s="25"/>
      <c r="E4" s="21" t="s">
        <v>492</v>
      </c>
      <c r="F4" s="25"/>
      <c r="G4" s="22" t="s">
        <v>69</v>
      </c>
    </row>
    <row r="5" spans="1:7" ht="62.5" x14ac:dyDescent="0.35">
      <c r="A5" s="21" t="s">
        <v>485</v>
      </c>
      <c r="B5" s="21" t="s">
        <v>108</v>
      </c>
      <c r="C5" s="21" t="s">
        <v>493</v>
      </c>
      <c r="D5" s="21" t="s">
        <v>494</v>
      </c>
      <c r="E5" s="21" t="s">
        <v>495</v>
      </c>
      <c r="F5" s="25"/>
      <c r="G5" s="22" t="s">
        <v>69</v>
      </c>
    </row>
    <row r="6" spans="1:7" ht="50" x14ac:dyDescent="0.35">
      <c r="A6" s="21" t="s">
        <v>485</v>
      </c>
      <c r="B6" s="21" t="s">
        <v>108</v>
      </c>
      <c r="C6" s="21" t="s">
        <v>229</v>
      </c>
      <c r="D6" s="21" t="s">
        <v>496</v>
      </c>
      <c r="E6" s="21" t="s">
        <v>497</v>
      </c>
      <c r="F6" s="25"/>
      <c r="G6" s="22" t="s">
        <v>69</v>
      </c>
    </row>
    <row r="7" spans="1:7" ht="37.5" x14ac:dyDescent="0.35">
      <c r="A7" s="21" t="s">
        <v>485</v>
      </c>
      <c r="B7" s="21" t="s">
        <v>108</v>
      </c>
      <c r="C7" s="21" t="s">
        <v>498</v>
      </c>
      <c r="D7" s="21" t="s">
        <v>499</v>
      </c>
      <c r="E7" s="21" t="s">
        <v>500</v>
      </c>
      <c r="F7" s="25"/>
      <c r="G7" s="22" t="s">
        <v>69</v>
      </c>
    </row>
    <row r="8" spans="1:7" ht="37.5" x14ac:dyDescent="0.35">
      <c r="A8" s="21" t="s">
        <v>485</v>
      </c>
      <c r="B8" s="21" t="s">
        <v>108</v>
      </c>
      <c r="C8" s="21" t="s">
        <v>224</v>
      </c>
      <c r="D8" s="21" t="s">
        <v>501</v>
      </c>
      <c r="E8" s="21" t="s">
        <v>502</v>
      </c>
      <c r="F8" s="25"/>
      <c r="G8" s="22" t="s">
        <v>69</v>
      </c>
    </row>
    <row r="9" spans="1:7" ht="25" x14ac:dyDescent="0.35">
      <c r="A9" s="21" t="s">
        <v>485</v>
      </c>
      <c r="B9" s="21" t="s">
        <v>108</v>
      </c>
      <c r="C9" s="21" t="s">
        <v>503</v>
      </c>
      <c r="D9" s="21" t="s">
        <v>504</v>
      </c>
      <c r="E9" s="21" t="s">
        <v>505</v>
      </c>
      <c r="F9" s="25"/>
      <c r="G9" s="22" t="s">
        <v>69</v>
      </c>
    </row>
    <row r="10" spans="1:7" ht="37.5" x14ac:dyDescent="0.35">
      <c r="A10" s="21" t="s">
        <v>485</v>
      </c>
      <c r="B10" s="21" t="s">
        <v>108</v>
      </c>
      <c r="C10" s="21" t="s">
        <v>506</v>
      </c>
      <c r="D10" s="21" t="s">
        <v>507</v>
      </c>
      <c r="E10" s="21" t="s">
        <v>508</v>
      </c>
      <c r="F10" s="25"/>
      <c r="G10" s="22" t="s">
        <v>69</v>
      </c>
    </row>
    <row r="11" spans="1:7" ht="25" x14ac:dyDescent="0.35">
      <c r="A11" s="21" t="s">
        <v>485</v>
      </c>
      <c r="B11" s="21" t="s">
        <v>108</v>
      </c>
      <c r="C11" s="21" t="s">
        <v>226</v>
      </c>
      <c r="D11" s="21" t="s">
        <v>509</v>
      </c>
      <c r="E11" s="21" t="s">
        <v>510</v>
      </c>
      <c r="F11" s="25"/>
      <c r="G11" s="22" t="s">
        <v>69</v>
      </c>
    </row>
    <row r="12" spans="1:7" ht="37.5" x14ac:dyDescent="0.35">
      <c r="A12" s="21" t="s">
        <v>485</v>
      </c>
      <c r="B12" s="21" t="s">
        <v>108</v>
      </c>
      <c r="C12" s="21" t="s">
        <v>511</v>
      </c>
      <c r="D12" s="21" t="s">
        <v>507</v>
      </c>
      <c r="E12" s="21" t="s">
        <v>512</v>
      </c>
      <c r="F12" s="25"/>
      <c r="G12" s="22" t="s">
        <v>69</v>
      </c>
    </row>
    <row r="13" spans="1:7" ht="25" x14ac:dyDescent="0.35">
      <c r="A13" s="21" t="s">
        <v>485</v>
      </c>
      <c r="B13" s="21" t="s">
        <v>108</v>
      </c>
      <c r="C13" s="21" t="s">
        <v>227</v>
      </c>
      <c r="D13" s="21" t="s">
        <v>504</v>
      </c>
      <c r="E13" s="21" t="s">
        <v>513</v>
      </c>
      <c r="F13" s="25"/>
      <c r="G13" s="22" t="s">
        <v>69</v>
      </c>
    </row>
    <row r="14" spans="1:7" ht="25" x14ac:dyDescent="0.35">
      <c r="A14" s="21" t="s">
        <v>485</v>
      </c>
      <c r="B14" s="21" t="s">
        <v>108</v>
      </c>
      <c r="C14" s="21" t="s">
        <v>228</v>
      </c>
      <c r="D14" s="21" t="s">
        <v>504</v>
      </c>
      <c r="E14" s="21" t="s">
        <v>514</v>
      </c>
      <c r="F14" s="25"/>
      <c r="G14" s="22" t="s">
        <v>69</v>
      </c>
    </row>
    <row r="15" spans="1:7" ht="25" x14ac:dyDescent="0.35">
      <c r="A15" s="21" t="s">
        <v>485</v>
      </c>
      <c r="B15" s="21" t="s">
        <v>108</v>
      </c>
      <c r="C15" s="21" t="s">
        <v>515</v>
      </c>
      <c r="D15" s="21" t="s">
        <v>113</v>
      </c>
      <c r="E15" s="21" t="s">
        <v>516</v>
      </c>
      <c r="F15" s="25"/>
      <c r="G15" s="22" t="s">
        <v>69</v>
      </c>
    </row>
    <row r="16" spans="1:7" ht="25" x14ac:dyDescent="0.35">
      <c r="A16" s="21" t="s">
        <v>485</v>
      </c>
      <c r="B16" s="21" t="s">
        <v>108</v>
      </c>
      <c r="C16" s="21" t="s">
        <v>517</v>
      </c>
      <c r="D16" s="21" t="s">
        <v>504</v>
      </c>
      <c r="E16" s="21" t="s">
        <v>518</v>
      </c>
      <c r="F16" s="25"/>
      <c r="G16" s="22" t="s">
        <v>69</v>
      </c>
    </row>
    <row r="17" spans="1:7" ht="37.5" x14ac:dyDescent="0.35">
      <c r="A17" s="21" t="s">
        <v>485</v>
      </c>
      <c r="B17" s="21" t="s">
        <v>108</v>
      </c>
      <c r="C17" s="21" t="s">
        <v>519</v>
      </c>
      <c r="D17" s="21" t="s">
        <v>507</v>
      </c>
      <c r="E17" s="21" t="s">
        <v>520</v>
      </c>
      <c r="F17" s="25"/>
      <c r="G17" s="22" t="s">
        <v>69</v>
      </c>
    </row>
    <row r="18" spans="1:7" x14ac:dyDescent="0.35">
      <c r="A18" s="21" t="s">
        <v>402</v>
      </c>
      <c r="B18" s="21" t="s">
        <v>486</v>
      </c>
      <c r="C18" s="21" t="s">
        <v>521</v>
      </c>
      <c r="D18" s="25"/>
      <c r="E18" s="21" t="s">
        <v>522</v>
      </c>
      <c r="F18" s="25"/>
      <c r="G18" s="22" t="s">
        <v>405</v>
      </c>
    </row>
    <row r="19" spans="1:7" x14ac:dyDescent="0.35">
      <c r="A19" s="21" t="s">
        <v>402</v>
      </c>
      <c r="B19" s="21" t="s">
        <v>486</v>
      </c>
      <c r="C19" s="21" t="s">
        <v>523</v>
      </c>
      <c r="D19" s="25"/>
      <c r="E19" s="21" t="s">
        <v>524</v>
      </c>
      <c r="F19" s="25"/>
      <c r="G19" s="22" t="s">
        <v>405</v>
      </c>
    </row>
    <row r="20" spans="1:7" x14ac:dyDescent="0.35">
      <c r="A20" s="21" t="s">
        <v>402</v>
      </c>
      <c r="B20" s="21" t="s">
        <v>486</v>
      </c>
      <c r="C20" s="21" t="s">
        <v>525</v>
      </c>
      <c r="D20" s="25"/>
      <c r="E20" s="21" t="s">
        <v>526</v>
      </c>
      <c r="F20" s="25"/>
      <c r="G20" s="22" t="s">
        <v>405</v>
      </c>
    </row>
    <row r="21" spans="1:7" x14ac:dyDescent="0.35">
      <c r="A21" s="21" t="s">
        <v>402</v>
      </c>
      <c r="B21" s="21" t="s">
        <v>486</v>
      </c>
      <c r="C21" s="21" t="s">
        <v>527</v>
      </c>
      <c r="D21" s="25"/>
      <c r="E21" s="21" t="s">
        <v>528</v>
      </c>
      <c r="F21" s="25"/>
      <c r="G21" s="22" t="s">
        <v>405</v>
      </c>
    </row>
    <row r="22" spans="1:7" x14ac:dyDescent="0.35">
      <c r="A22" s="21" t="s">
        <v>402</v>
      </c>
      <c r="B22" s="21" t="s">
        <v>486</v>
      </c>
      <c r="C22" s="21" t="s">
        <v>529</v>
      </c>
      <c r="D22" s="25"/>
      <c r="E22" s="21" t="s">
        <v>530</v>
      </c>
      <c r="F22" s="25"/>
      <c r="G22" s="22" t="s">
        <v>405</v>
      </c>
    </row>
    <row r="23" spans="1:7" ht="25" x14ac:dyDescent="0.35">
      <c r="A23" s="21" t="s">
        <v>402</v>
      </c>
      <c r="B23" s="21" t="s">
        <v>108</v>
      </c>
      <c r="C23" s="21" t="s">
        <v>126</v>
      </c>
      <c r="D23" s="21" t="s">
        <v>504</v>
      </c>
      <c r="E23" s="21" t="s">
        <v>531</v>
      </c>
      <c r="F23" s="25"/>
      <c r="G23" s="22" t="s">
        <v>405</v>
      </c>
    </row>
    <row r="24" spans="1:7" ht="37.5" x14ac:dyDescent="0.35">
      <c r="A24" s="21" t="s">
        <v>402</v>
      </c>
      <c r="B24" s="21" t="s">
        <v>108</v>
      </c>
      <c r="C24" s="21" t="s">
        <v>132</v>
      </c>
      <c r="D24" s="21" t="s">
        <v>507</v>
      </c>
      <c r="E24" s="21" t="s">
        <v>532</v>
      </c>
      <c r="F24" s="25"/>
      <c r="G24" s="22" t="s">
        <v>405</v>
      </c>
    </row>
    <row r="25" spans="1:7" ht="25" x14ac:dyDescent="0.35">
      <c r="A25" s="21" t="s">
        <v>402</v>
      </c>
      <c r="B25" s="21" t="s">
        <v>108</v>
      </c>
      <c r="C25" s="21" t="s">
        <v>123</v>
      </c>
      <c r="D25" s="21" t="s">
        <v>504</v>
      </c>
      <c r="E25" s="21" t="s">
        <v>533</v>
      </c>
      <c r="F25" s="21" t="s">
        <v>534</v>
      </c>
      <c r="G25" s="22" t="s">
        <v>405</v>
      </c>
    </row>
    <row r="26" spans="1:7" ht="37.5" x14ac:dyDescent="0.35">
      <c r="A26" s="21" t="s">
        <v>402</v>
      </c>
      <c r="B26" s="21" t="s">
        <v>108</v>
      </c>
      <c r="C26" s="21" t="s">
        <v>127</v>
      </c>
      <c r="D26" s="21" t="s">
        <v>507</v>
      </c>
      <c r="E26" s="21" t="s">
        <v>535</v>
      </c>
      <c r="F26" s="21" t="s">
        <v>536</v>
      </c>
      <c r="G26" s="22" t="s">
        <v>405</v>
      </c>
    </row>
    <row r="27" spans="1:7" ht="25" x14ac:dyDescent="0.35">
      <c r="A27" s="21" t="s">
        <v>402</v>
      </c>
      <c r="B27" s="21" t="s">
        <v>108</v>
      </c>
      <c r="C27" s="21" t="s">
        <v>128</v>
      </c>
      <c r="D27" s="21" t="s">
        <v>504</v>
      </c>
      <c r="E27" s="21" t="s">
        <v>537</v>
      </c>
      <c r="F27" s="21" t="s">
        <v>536</v>
      </c>
      <c r="G27" s="22" t="s">
        <v>405</v>
      </c>
    </row>
    <row r="28" spans="1:7" ht="37.5" x14ac:dyDescent="0.35">
      <c r="A28" s="21" t="s">
        <v>402</v>
      </c>
      <c r="B28" s="21" t="s">
        <v>108</v>
      </c>
      <c r="C28" s="21" t="s">
        <v>129</v>
      </c>
      <c r="D28" s="21" t="s">
        <v>504</v>
      </c>
      <c r="E28" s="21" t="s">
        <v>538</v>
      </c>
      <c r="F28" s="21" t="s">
        <v>536</v>
      </c>
      <c r="G28" s="22" t="s">
        <v>405</v>
      </c>
    </row>
    <row r="29" spans="1:7" ht="37.5" x14ac:dyDescent="0.35">
      <c r="A29" s="21" t="s">
        <v>402</v>
      </c>
      <c r="B29" s="21" t="s">
        <v>108</v>
      </c>
      <c r="C29" s="21" t="s">
        <v>539</v>
      </c>
      <c r="D29" s="21" t="s">
        <v>507</v>
      </c>
      <c r="E29" s="21" t="s">
        <v>540</v>
      </c>
      <c r="F29" s="21" t="s">
        <v>449</v>
      </c>
      <c r="G29" s="22" t="s">
        <v>405</v>
      </c>
    </row>
    <row r="30" spans="1:7" ht="50" x14ac:dyDescent="0.35">
      <c r="A30" s="21" t="s">
        <v>402</v>
      </c>
      <c r="B30" s="21" t="s">
        <v>108</v>
      </c>
      <c r="C30" s="21" t="s">
        <v>130</v>
      </c>
      <c r="D30" s="21" t="s">
        <v>504</v>
      </c>
      <c r="E30" s="21" t="s">
        <v>541</v>
      </c>
      <c r="F30" s="21" t="s">
        <v>534</v>
      </c>
      <c r="G30" s="22" t="s">
        <v>405</v>
      </c>
    </row>
    <row r="31" spans="1:7" ht="37.5" x14ac:dyDescent="0.35">
      <c r="A31" s="21" t="s">
        <v>402</v>
      </c>
      <c r="B31" s="21" t="s">
        <v>108</v>
      </c>
      <c r="C31" s="21" t="s">
        <v>131</v>
      </c>
      <c r="D31" s="21" t="s">
        <v>542</v>
      </c>
      <c r="E31" s="21" t="s">
        <v>543</v>
      </c>
      <c r="F31" s="21" t="s">
        <v>534</v>
      </c>
      <c r="G31" s="22" t="s">
        <v>405</v>
      </c>
    </row>
    <row r="32" spans="1:7" ht="25" x14ac:dyDescent="0.35">
      <c r="A32" s="21" t="s">
        <v>402</v>
      </c>
      <c r="B32" s="21" t="s">
        <v>108</v>
      </c>
      <c r="C32" s="21" t="s">
        <v>544</v>
      </c>
      <c r="D32" s="21" t="s">
        <v>504</v>
      </c>
      <c r="E32" s="21" t="s">
        <v>545</v>
      </c>
      <c r="F32" s="21" t="s">
        <v>406</v>
      </c>
      <c r="G32" s="22" t="s">
        <v>405</v>
      </c>
    </row>
    <row r="33" spans="1:7" ht="25" x14ac:dyDescent="0.35">
      <c r="A33" s="21" t="s">
        <v>402</v>
      </c>
      <c r="B33" s="21" t="s">
        <v>108</v>
      </c>
      <c r="C33" s="21" t="s">
        <v>133</v>
      </c>
      <c r="D33" s="21" t="s">
        <v>504</v>
      </c>
      <c r="E33" s="21" t="s">
        <v>546</v>
      </c>
      <c r="F33" s="21" t="s">
        <v>534</v>
      </c>
      <c r="G33" s="22" t="s">
        <v>405</v>
      </c>
    </row>
    <row r="34" spans="1:7" ht="25" x14ac:dyDescent="0.35">
      <c r="A34" s="21" t="s">
        <v>402</v>
      </c>
      <c r="B34" s="21" t="s">
        <v>108</v>
      </c>
      <c r="C34" s="21" t="s">
        <v>547</v>
      </c>
      <c r="D34" s="21" t="s">
        <v>504</v>
      </c>
      <c r="E34" s="21" t="s">
        <v>548</v>
      </c>
      <c r="F34" s="21" t="s">
        <v>406</v>
      </c>
      <c r="G34" s="22" t="s">
        <v>405</v>
      </c>
    </row>
    <row r="35" spans="1:7" ht="37.5" x14ac:dyDescent="0.35">
      <c r="A35" s="21" t="s">
        <v>402</v>
      </c>
      <c r="B35" s="21" t="s">
        <v>108</v>
      </c>
      <c r="C35" s="21" t="s">
        <v>134</v>
      </c>
      <c r="D35" s="21" t="s">
        <v>507</v>
      </c>
      <c r="E35" s="21" t="s">
        <v>549</v>
      </c>
      <c r="F35" s="21" t="s">
        <v>550</v>
      </c>
      <c r="G35" s="22" t="s">
        <v>405</v>
      </c>
    </row>
    <row r="36" spans="1:7" x14ac:dyDescent="0.35">
      <c r="A36" s="21" t="s">
        <v>402</v>
      </c>
      <c r="B36" s="21" t="s">
        <v>108</v>
      </c>
      <c r="C36" s="21" t="s">
        <v>551</v>
      </c>
      <c r="D36" s="21" t="s">
        <v>113</v>
      </c>
      <c r="E36" s="21" t="s">
        <v>552</v>
      </c>
      <c r="F36" s="25"/>
      <c r="G36" s="22" t="s">
        <v>405</v>
      </c>
    </row>
    <row r="37" spans="1:7" x14ac:dyDescent="0.35">
      <c r="A37" s="21" t="s">
        <v>402</v>
      </c>
      <c r="B37" s="21" t="s">
        <v>108</v>
      </c>
      <c r="C37" s="21" t="s">
        <v>553</v>
      </c>
      <c r="D37" s="21" t="s">
        <v>113</v>
      </c>
      <c r="E37" s="21" t="s">
        <v>554</v>
      </c>
      <c r="F37" s="25"/>
      <c r="G37" s="22" t="s">
        <v>405</v>
      </c>
    </row>
    <row r="38" spans="1:7" x14ac:dyDescent="0.35">
      <c r="A38" s="21" t="s">
        <v>402</v>
      </c>
      <c r="B38" s="21" t="s">
        <v>108</v>
      </c>
      <c r="C38" s="21" t="s">
        <v>555</v>
      </c>
      <c r="D38" s="21" t="s">
        <v>113</v>
      </c>
      <c r="E38" s="21" t="s">
        <v>556</v>
      </c>
      <c r="F38" s="25"/>
      <c r="G38" s="22" t="s">
        <v>405</v>
      </c>
    </row>
    <row r="39" spans="1:7" x14ac:dyDescent="0.35">
      <c r="A39" s="21" t="s">
        <v>419</v>
      </c>
      <c r="B39" s="21" t="s">
        <v>486</v>
      </c>
      <c r="C39" s="21" t="s">
        <v>557</v>
      </c>
      <c r="D39" s="25"/>
      <c r="E39" s="21" t="s">
        <v>488</v>
      </c>
      <c r="F39" s="25"/>
      <c r="G39" s="22" t="s">
        <v>422</v>
      </c>
    </row>
    <row r="40" spans="1:7" ht="25" x14ac:dyDescent="0.35">
      <c r="A40" s="21" t="s">
        <v>419</v>
      </c>
      <c r="B40" s="21" t="s">
        <v>486</v>
      </c>
      <c r="C40" s="21" t="s">
        <v>558</v>
      </c>
      <c r="D40" s="25"/>
      <c r="E40" s="21" t="s">
        <v>559</v>
      </c>
      <c r="F40" s="25"/>
      <c r="G40" s="22" t="s">
        <v>422</v>
      </c>
    </row>
    <row r="41" spans="1:7" x14ac:dyDescent="0.35">
      <c r="A41" s="21" t="s">
        <v>419</v>
      </c>
      <c r="B41" s="21" t="s">
        <v>486</v>
      </c>
      <c r="C41" s="21" t="s">
        <v>491</v>
      </c>
      <c r="D41" s="25"/>
      <c r="E41" s="21" t="s">
        <v>560</v>
      </c>
      <c r="F41" s="25"/>
      <c r="G41" s="22" t="s">
        <v>422</v>
      </c>
    </row>
    <row r="42" spans="1:7" ht="25" x14ac:dyDescent="0.35">
      <c r="A42" s="21" t="s">
        <v>419</v>
      </c>
      <c r="B42" s="21" t="s">
        <v>108</v>
      </c>
      <c r="C42" s="21" t="s">
        <v>193</v>
      </c>
      <c r="D42" s="21" t="s">
        <v>504</v>
      </c>
      <c r="E42" s="21" t="s">
        <v>561</v>
      </c>
      <c r="F42" s="25"/>
      <c r="G42" s="22" t="s">
        <v>422</v>
      </c>
    </row>
    <row r="43" spans="1:7" ht="37.5" x14ac:dyDescent="0.35">
      <c r="A43" s="21" t="s">
        <v>419</v>
      </c>
      <c r="B43" s="21" t="s">
        <v>108</v>
      </c>
      <c r="C43" s="21" t="s">
        <v>195</v>
      </c>
      <c r="D43" s="21" t="s">
        <v>507</v>
      </c>
      <c r="E43" s="21" t="s">
        <v>562</v>
      </c>
      <c r="F43" s="25"/>
      <c r="G43" s="22" t="s">
        <v>422</v>
      </c>
    </row>
    <row r="44" spans="1:7" ht="25" x14ac:dyDescent="0.35">
      <c r="A44" s="21" t="s">
        <v>419</v>
      </c>
      <c r="B44" s="21" t="s">
        <v>108</v>
      </c>
      <c r="C44" s="21" t="s">
        <v>563</v>
      </c>
      <c r="D44" s="21" t="s">
        <v>504</v>
      </c>
      <c r="E44" s="21" t="s">
        <v>564</v>
      </c>
      <c r="F44" s="25"/>
      <c r="G44" s="22" t="s">
        <v>422</v>
      </c>
    </row>
    <row r="45" spans="1:7" ht="25" x14ac:dyDescent="0.35">
      <c r="A45" s="21" t="s">
        <v>419</v>
      </c>
      <c r="B45" s="21" t="s">
        <v>108</v>
      </c>
      <c r="C45" s="21" t="s">
        <v>192</v>
      </c>
      <c r="D45" s="21" t="s">
        <v>504</v>
      </c>
      <c r="E45" s="21" t="s">
        <v>565</v>
      </c>
      <c r="F45" s="25"/>
      <c r="G45" s="22" t="s">
        <v>422</v>
      </c>
    </row>
    <row r="46" spans="1:7" ht="25" x14ac:dyDescent="0.35">
      <c r="A46" s="21" t="s">
        <v>419</v>
      </c>
      <c r="B46" s="21" t="s">
        <v>108</v>
      </c>
      <c r="C46" s="21" t="s">
        <v>194</v>
      </c>
      <c r="D46" s="21" t="s">
        <v>504</v>
      </c>
      <c r="E46" s="21" t="s">
        <v>566</v>
      </c>
      <c r="F46" s="21" t="s">
        <v>421</v>
      </c>
      <c r="G46" s="22" t="s">
        <v>422</v>
      </c>
    </row>
    <row r="47" spans="1:7" ht="37.5" x14ac:dyDescent="0.35">
      <c r="A47" s="21" t="s">
        <v>419</v>
      </c>
      <c r="B47" s="21" t="s">
        <v>108</v>
      </c>
      <c r="C47" s="21" t="s">
        <v>567</v>
      </c>
      <c r="D47" s="21" t="s">
        <v>507</v>
      </c>
      <c r="E47" s="21" t="s">
        <v>568</v>
      </c>
      <c r="F47" s="21" t="s">
        <v>424</v>
      </c>
      <c r="G47" s="22" t="s">
        <v>422</v>
      </c>
    </row>
    <row r="48" spans="1:7" ht="25" x14ac:dyDescent="0.35">
      <c r="A48" s="21" t="s">
        <v>419</v>
      </c>
      <c r="B48" s="21" t="s">
        <v>108</v>
      </c>
      <c r="C48" s="21" t="s">
        <v>196</v>
      </c>
      <c r="D48" s="21" t="s">
        <v>504</v>
      </c>
      <c r="E48" s="21" t="s">
        <v>569</v>
      </c>
      <c r="F48" s="21" t="s">
        <v>570</v>
      </c>
      <c r="G48" s="22" t="s">
        <v>422</v>
      </c>
    </row>
    <row r="49" spans="1:7" ht="25" x14ac:dyDescent="0.35">
      <c r="A49" s="21" t="s">
        <v>419</v>
      </c>
      <c r="B49" s="21" t="s">
        <v>108</v>
      </c>
      <c r="C49" s="21" t="s">
        <v>197</v>
      </c>
      <c r="D49" s="21" t="s">
        <v>504</v>
      </c>
      <c r="E49" s="21" t="s">
        <v>571</v>
      </c>
      <c r="F49" s="21" t="s">
        <v>421</v>
      </c>
      <c r="G49" s="22" t="s">
        <v>422</v>
      </c>
    </row>
    <row r="50" spans="1:7" ht="25" x14ac:dyDescent="0.35">
      <c r="A50" s="21" t="s">
        <v>419</v>
      </c>
      <c r="B50" s="21" t="s">
        <v>108</v>
      </c>
      <c r="C50" s="21" t="s">
        <v>200</v>
      </c>
      <c r="D50" s="21" t="s">
        <v>504</v>
      </c>
      <c r="E50" s="21" t="s">
        <v>572</v>
      </c>
      <c r="F50" s="21" t="s">
        <v>421</v>
      </c>
      <c r="G50" s="22" t="s">
        <v>422</v>
      </c>
    </row>
    <row r="51" spans="1:7" ht="25" x14ac:dyDescent="0.35">
      <c r="A51" s="21" t="s">
        <v>419</v>
      </c>
      <c r="B51" s="21" t="s">
        <v>108</v>
      </c>
      <c r="C51" s="21" t="s">
        <v>573</v>
      </c>
      <c r="D51" s="21" t="s">
        <v>504</v>
      </c>
      <c r="E51" s="21" t="s">
        <v>574</v>
      </c>
      <c r="F51" s="21" t="s">
        <v>421</v>
      </c>
      <c r="G51" s="22" t="s">
        <v>422</v>
      </c>
    </row>
    <row r="52" spans="1:7" ht="25" x14ac:dyDescent="0.35">
      <c r="A52" s="21" t="s">
        <v>419</v>
      </c>
      <c r="B52" s="21" t="s">
        <v>108</v>
      </c>
      <c r="C52" s="21" t="s">
        <v>575</v>
      </c>
      <c r="D52" s="21" t="s">
        <v>113</v>
      </c>
      <c r="E52" s="21" t="s">
        <v>576</v>
      </c>
      <c r="F52" s="21" t="s">
        <v>577</v>
      </c>
      <c r="G52" s="22" t="s">
        <v>422</v>
      </c>
    </row>
    <row r="53" spans="1:7" ht="25" x14ac:dyDescent="0.35">
      <c r="A53" s="21" t="s">
        <v>419</v>
      </c>
      <c r="B53" s="21" t="s">
        <v>108</v>
      </c>
      <c r="C53" s="21" t="s">
        <v>578</v>
      </c>
      <c r="D53" s="21" t="s">
        <v>113</v>
      </c>
      <c r="E53" s="21" t="s">
        <v>579</v>
      </c>
      <c r="F53" s="21" t="s">
        <v>577</v>
      </c>
      <c r="G53" s="22" t="s">
        <v>422</v>
      </c>
    </row>
    <row r="54" spans="1:7" ht="25" x14ac:dyDescent="0.35">
      <c r="A54" s="21" t="s">
        <v>383</v>
      </c>
      <c r="B54" s="21" t="s">
        <v>486</v>
      </c>
      <c r="C54" s="21" t="s">
        <v>580</v>
      </c>
      <c r="D54" s="25"/>
      <c r="E54" s="21" t="s">
        <v>581</v>
      </c>
      <c r="F54" s="25"/>
      <c r="G54" s="22" t="s">
        <v>432</v>
      </c>
    </row>
    <row r="55" spans="1:7" ht="25" x14ac:dyDescent="0.35">
      <c r="A55" s="21" t="s">
        <v>383</v>
      </c>
      <c r="B55" s="21" t="s">
        <v>486</v>
      </c>
      <c r="C55" s="21" t="s">
        <v>582</v>
      </c>
      <c r="D55" s="25"/>
      <c r="E55" s="21" t="s">
        <v>583</v>
      </c>
      <c r="F55" s="25"/>
      <c r="G55" s="22" t="s">
        <v>432</v>
      </c>
    </row>
    <row r="56" spans="1:7" ht="25" x14ac:dyDescent="0.35">
      <c r="A56" s="21" t="s">
        <v>383</v>
      </c>
      <c r="B56" s="21" t="s">
        <v>486</v>
      </c>
      <c r="C56" s="21" t="s">
        <v>584</v>
      </c>
      <c r="D56" s="25"/>
      <c r="E56" s="21" t="s">
        <v>585</v>
      </c>
      <c r="F56" s="25"/>
      <c r="G56" s="22" t="s">
        <v>432</v>
      </c>
    </row>
    <row r="57" spans="1:7" ht="25" x14ac:dyDescent="0.35">
      <c r="A57" s="21" t="s">
        <v>383</v>
      </c>
      <c r="B57" s="21" t="s">
        <v>108</v>
      </c>
      <c r="C57" s="21" t="s">
        <v>217</v>
      </c>
      <c r="D57" s="21" t="s">
        <v>586</v>
      </c>
      <c r="E57" s="21" t="s">
        <v>587</v>
      </c>
      <c r="F57" s="25"/>
      <c r="G57" s="22" t="s">
        <v>432</v>
      </c>
    </row>
    <row r="58" spans="1:7" ht="37.5" x14ac:dyDescent="0.35">
      <c r="A58" s="21" t="s">
        <v>383</v>
      </c>
      <c r="B58" s="21" t="s">
        <v>108</v>
      </c>
      <c r="C58" s="21" t="s">
        <v>588</v>
      </c>
      <c r="D58" s="21" t="s">
        <v>507</v>
      </c>
      <c r="E58" s="21" t="s">
        <v>589</v>
      </c>
      <c r="F58" s="25"/>
      <c r="G58" s="22" t="s">
        <v>432</v>
      </c>
    </row>
    <row r="59" spans="1:7" ht="25" x14ac:dyDescent="0.35">
      <c r="A59" s="21" t="s">
        <v>383</v>
      </c>
      <c r="B59" s="21" t="s">
        <v>108</v>
      </c>
      <c r="C59" s="21" t="s">
        <v>590</v>
      </c>
      <c r="D59" s="21" t="s">
        <v>504</v>
      </c>
      <c r="E59" s="21" t="s">
        <v>591</v>
      </c>
      <c r="F59" s="25"/>
      <c r="G59" s="22" t="s">
        <v>432</v>
      </c>
    </row>
    <row r="60" spans="1:7" ht="25" x14ac:dyDescent="0.35">
      <c r="A60" s="21" t="s">
        <v>383</v>
      </c>
      <c r="B60" s="21" t="s">
        <v>108</v>
      </c>
      <c r="C60" s="21" t="s">
        <v>218</v>
      </c>
      <c r="D60" s="21" t="s">
        <v>504</v>
      </c>
      <c r="E60" s="21" t="s">
        <v>592</v>
      </c>
      <c r="F60" s="25"/>
      <c r="G60" s="22" t="s">
        <v>432</v>
      </c>
    </row>
    <row r="61" spans="1:7" ht="25" x14ac:dyDescent="0.35">
      <c r="A61" s="21" t="s">
        <v>383</v>
      </c>
      <c r="B61" s="21" t="s">
        <v>108</v>
      </c>
      <c r="C61" s="21" t="s">
        <v>219</v>
      </c>
      <c r="D61" s="21" t="s">
        <v>504</v>
      </c>
      <c r="E61" s="21" t="s">
        <v>593</v>
      </c>
      <c r="F61" s="25"/>
      <c r="G61" s="22" t="s">
        <v>432</v>
      </c>
    </row>
    <row r="62" spans="1:7" ht="25" x14ac:dyDescent="0.35">
      <c r="A62" s="21" t="s">
        <v>383</v>
      </c>
      <c r="B62" s="21" t="s">
        <v>108</v>
      </c>
      <c r="C62" s="21" t="s">
        <v>594</v>
      </c>
      <c r="D62" s="21" t="s">
        <v>504</v>
      </c>
      <c r="E62" s="21" t="s">
        <v>595</v>
      </c>
      <c r="F62" s="25"/>
      <c r="G62" s="22" t="s">
        <v>432</v>
      </c>
    </row>
    <row r="63" spans="1:7" ht="37.5" x14ac:dyDescent="0.35">
      <c r="A63" s="21" t="s">
        <v>383</v>
      </c>
      <c r="B63" s="21" t="s">
        <v>108</v>
      </c>
      <c r="C63" s="21" t="s">
        <v>596</v>
      </c>
      <c r="D63" s="21" t="s">
        <v>507</v>
      </c>
      <c r="E63" s="21" t="s">
        <v>597</v>
      </c>
      <c r="F63" s="25"/>
      <c r="G63" s="22" t="s">
        <v>432</v>
      </c>
    </row>
    <row r="64" spans="1:7" ht="25" x14ac:dyDescent="0.35">
      <c r="A64" s="21" t="s">
        <v>383</v>
      </c>
      <c r="B64" s="21" t="s">
        <v>108</v>
      </c>
      <c r="C64" s="21" t="s">
        <v>598</v>
      </c>
      <c r="D64" s="21" t="s">
        <v>113</v>
      </c>
      <c r="E64" s="21" t="s">
        <v>599</v>
      </c>
      <c r="F64" s="25"/>
      <c r="G64" s="22" t="s">
        <v>432</v>
      </c>
    </row>
    <row r="65" spans="1:7" ht="37.5" x14ac:dyDescent="0.35">
      <c r="A65" s="21" t="s">
        <v>383</v>
      </c>
      <c r="B65" s="21" t="s">
        <v>108</v>
      </c>
      <c r="C65" s="21" t="s">
        <v>600</v>
      </c>
      <c r="D65" s="21" t="s">
        <v>601</v>
      </c>
      <c r="E65" s="21" t="s">
        <v>602</v>
      </c>
      <c r="F65" s="25"/>
      <c r="G65" s="22" t="s">
        <v>432</v>
      </c>
    </row>
    <row r="66" spans="1:7" ht="37.5" x14ac:dyDescent="0.35">
      <c r="A66" s="21" t="s">
        <v>383</v>
      </c>
      <c r="B66" s="21" t="s">
        <v>108</v>
      </c>
      <c r="C66" s="21" t="s">
        <v>603</v>
      </c>
      <c r="D66" s="21" t="s">
        <v>507</v>
      </c>
      <c r="E66" s="21" t="s">
        <v>604</v>
      </c>
      <c r="F66" s="21" t="s">
        <v>399</v>
      </c>
      <c r="G66" s="22" t="s">
        <v>432</v>
      </c>
    </row>
  </sheetData>
  <autoFilter ref="A1:G66" xr:uid="{00000000-0009-0000-0000-000008000000}"/>
  <hyperlinks>
    <hyperlink ref="G2" r:id="rId1" xr:uid="{00000000-0004-0000-0800-000000000000}"/>
    <hyperlink ref="G3" r:id="rId2" xr:uid="{00000000-0004-0000-0800-000001000000}"/>
    <hyperlink ref="G4" r:id="rId3" xr:uid="{00000000-0004-0000-0800-000002000000}"/>
    <hyperlink ref="G5" r:id="rId4" xr:uid="{00000000-0004-0000-0800-000003000000}"/>
    <hyperlink ref="G6" r:id="rId5" xr:uid="{00000000-0004-0000-0800-000004000000}"/>
    <hyperlink ref="G7" r:id="rId6" xr:uid="{00000000-0004-0000-0800-000005000000}"/>
    <hyperlink ref="G8" r:id="rId7" xr:uid="{00000000-0004-0000-0800-000006000000}"/>
    <hyperlink ref="G9" r:id="rId8" xr:uid="{00000000-0004-0000-0800-000007000000}"/>
    <hyperlink ref="G10" r:id="rId9" xr:uid="{00000000-0004-0000-0800-000008000000}"/>
    <hyperlink ref="G11" r:id="rId10" xr:uid="{00000000-0004-0000-0800-000009000000}"/>
    <hyperlink ref="G12" r:id="rId11" xr:uid="{00000000-0004-0000-0800-00000A000000}"/>
    <hyperlink ref="G13" r:id="rId12" xr:uid="{00000000-0004-0000-0800-00000B000000}"/>
    <hyperlink ref="G14" r:id="rId13" xr:uid="{00000000-0004-0000-0800-00000C000000}"/>
    <hyperlink ref="G15" r:id="rId14" xr:uid="{00000000-0004-0000-0800-00000D000000}"/>
    <hyperlink ref="G16" r:id="rId15" xr:uid="{00000000-0004-0000-0800-00000E000000}"/>
    <hyperlink ref="G17" r:id="rId16" xr:uid="{00000000-0004-0000-0800-00000F000000}"/>
    <hyperlink ref="G18" r:id="rId17" xr:uid="{00000000-0004-0000-0800-000010000000}"/>
    <hyperlink ref="G19" r:id="rId18" xr:uid="{00000000-0004-0000-0800-000011000000}"/>
    <hyperlink ref="G20" r:id="rId19" xr:uid="{00000000-0004-0000-0800-000012000000}"/>
    <hyperlink ref="G21" r:id="rId20" xr:uid="{00000000-0004-0000-0800-000013000000}"/>
    <hyperlink ref="G22" r:id="rId21" xr:uid="{00000000-0004-0000-0800-000014000000}"/>
    <hyperlink ref="G23" r:id="rId22" xr:uid="{00000000-0004-0000-0800-000015000000}"/>
    <hyperlink ref="G24" r:id="rId23" xr:uid="{00000000-0004-0000-0800-000016000000}"/>
    <hyperlink ref="G25" r:id="rId24" xr:uid="{00000000-0004-0000-0800-000017000000}"/>
    <hyperlink ref="G26" r:id="rId25" xr:uid="{00000000-0004-0000-0800-000018000000}"/>
    <hyperlink ref="G27" r:id="rId26" xr:uid="{00000000-0004-0000-0800-000019000000}"/>
    <hyperlink ref="G28" r:id="rId27" xr:uid="{00000000-0004-0000-0800-00001A000000}"/>
    <hyperlink ref="G29" r:id="rId28" xr:uid="{00000000-0004-0000-0800-00001B000000}"/>
    <hyperlink ref="G30" r:id="rId29" xr:uid="{00000000-0004-0000-0800-00001C000000}"/>
    <hyperlink ref="G31" r:id="rId30" xr:uid="{00000000-0004-0000-0800-00001D000000}"/>
    <hyperlink ref="G32" r:id="rId31" xr:uid="{00000000-0004-0000-0800-00001E000000}"/>
    <hyperlink ref="G33" r:id="rId32" xr:uid="{00000000-0004-0000-0800-00001F000000}"/>
    <hyperlink ref="G34" r:id="rId33" xr:uid="{00000000-0004-0000-0800-000020000000}"/>
    <hyperlink ref="G35" r:id="rId34" xr:uid="{00000000-0004-0000-0800-000021000000}"/>
    <hyperlink ref="G36" r:id="rId35" xr:uid="{00000000-0004-0000-0800-000022000000}"/>
    <hyperlink ref="G37" r:id="rId36" xr:uid="{00000000-0004-0000-0800-000023000000}"/>
    <hyperlink ref="G38" r:id="rId37" xr:uid="{00000000-0004-0000-0800-000024000000}"/>
    <hyperlink ref="G39" r:id="rId38" xr:uid="{00000000-0004-0000-0800-000025000000}"/>
    <hyperlink ref="G40" r:id="rId39" xr:uid="{00000000-0004-0000-0800-000026000000}"/>
    <hyperlink ref="G41" r:id="rId40" xr:uid="{00000000-0004-0000-0800-000027000000}"/>
    <hyperlink ref="G42" r:id="rId41" xr:uid="{00000000-0004-0000-0800-000028000000}"/>
    <hyperlink ref="G43" r:id="rId42" xr:uid="{00000000-0004-0000-0800-000029000000}"/>
    <hyperlink ref="G44" r:id="rId43" xr:uid="{00000000-0004-0000-0800-00002A000000}"/>
    <hyperlink ref="G45" r:id="rId44" xr:uid="{00000000-0004-0000-0800-00002B000000}"/>
    <hyperlink ref="G46" r:id="rId45" xr:uid="{00000000-0004-0000-0800-00002C000000}"/>
    <hyperlink ref="G47" r:id="rId46" xr:uid="{00000000-0004-0000-0800-00002D000000}"/>
    <hyperlink ref="G48" r:id="rId47" xr:uid="{00000000-0004-0000-0800-00002E000000}"/>
    <hyperlink ref="G49" r:id="rId48" xr:uid="{00000000-0004-0000-0800-00002F000000}"/>
    <hyperlink ref="G50" r:id="rId49" xr:uid="{00000000-0004-0000-0800-000030000000}"/>
    <hyperlink ref="G51" r:id="rId50" xr:uid="{00000000-0004-0000-0800-000031000000}"/>
    <hyperlink ref="G52" r:id="rId51" xr:uid="{00000000-0004-0000-0800-000032000000}"/>
    <hyperlink ref="G53" r:id="rId52" xr:uid="{00000000-0004-0000-0800-000033000000}"/>
    <hyperlink ref="G54" r:id="rId53" xr:uid="{00000000-0004-0000-0800-000034000000}"/>
    <hyperlink ref="G55" r:id="rId54" xr:uid="{00000000-0004-0000-0800-000035000000}"/>
    <hyperlink ref="G56" r:id="rId55" xr:uid="{00000000-0004-0000-0800-000036000000}"/>
    <hyperlink ref="G57" r:id="rId56" xr:uid="{00000000-0004-0000-0800-000037000000}"/>
    <hyperlink ref="G58" r:id="rId57" xr:uid="{00000000-0004-0000-0800-000038000000}"/>
    <hyperlink ref="G59" r:id="rId58" xr:uid="{00000000-0004-0000-0800-000039000000}"/>
    <hyperlink ref="G60" r:id="rId59" xr:uid="{00000000-0004-0000-0800-00003A000000}"/>
    <hyperlink ref="G61" r:id="rId60" xr:uid="{00000000-0004-0000-0800-00003B000000}"/>
    <hyperlink ref="G62" r:id="rId61" xr:uid="{00000000-0004-0000-0800-00003C000000}"/>
    <hyperlink ref="G63" r:id="rId62" xr:uid="{00000000-0004-0000-0800-00003D000000}"/>
    <hyperlink ref="G64" r:id="rId63" xr:uid="{00000000-0004-0000-0800-00003E000000}"/>
    <hyperlink ref="G65" r:id="rId64" xr:uid="{00000000-0004-0000-0800-00003F000000}"/>
    <hyperlink ref="G66" r:id="rId65" xr:uid="{00000000-0004-0000-0800-000040000000}"/>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A6A6A6"/>
  </sheetPr>
  <dimension ref="A1:E27"/>
  <sheetViews>
    <sheetView workbookViewId="0">
      <pane xSplit="2" ySplit="2" topLeftCell="C3" activePane="bottomRight" state="frozen"/>
      <selection pane="topRight"/>
      <selection pane="bottomLeft"/>
      <selection pane="bottomRight"/>
    </sheetView>
  </sheetViews>
  <sheetFormatPr defaultRowHeight="14.5" x14ac:dyDescent="0.35"/>
  <cols>
    <col min="1" max="1" width="20" customWidth="1"/>
    <col min="2" max="2" width="40" customWidth="1"/>
    <col min="3" max="3" width="70" customWidth="1"/>
    <col min="4" max="4" width="60" customWidth="1"/>
    <col min="5" max="5" width="36" customWidth="1"/>
  </cols>
  <sheetData>
    <row r="1" spans="1:5" ht="32" customHeight="1" x14ac:dyDescent="0.35">
      <c r="A1" s="29" t="s">
        <v>605</v>
      </c>
      <c r="B1" s="30"/>
      <c r="C1" s="30"/>
      <c r="D1" s="30"/>
      <c r="E1" s="30"/>
    </row>
    <row r="2" spans="1:5" ht="30" customHeight="1" x14ac:dyDescent="0.35">
      <c r="A2" s="7" t="s">
        <v>379</v>
      </c>
      <c r="B2" s="7" t="s">
        <v>109</v>
      </c>
      <c r="C2" s="7" t="s">
        <v>483</v>
      </c>
      <c r="D2" s="7" t="s">
        <v>606</v>
      </c>
      <c r="E2" s="7" t="s">
        <v>382</v>
      </c>
    </row>
    <row r="3" spans="1:5" ht="25" x14ac:dyDescent="0.35">
      <c r="A3" s="21" t="s">
        <v>607</v>
      </c>
      <c r="B3" s="21" t="s">
        <v>608</v>
      </c>
      <c r="C3" s="21" t="s">
        <v>609</v>
      </c>
      <c r="D3" s="25"/>
      <c r="E3" s="22" t="s">
        <v>610</v>
      </c>
    </row>
    <row r="4" spans="1:5" ht="37.5" x14ac:dyDescent="0.35">
      <c r="A4" s="21" t="s">
        <v>607</v>
      </c>
      <c r="B4" s="21" t="s">
        <v>611</v>
      </c>
      <c r="C4" s="21" t="s">
        <v>612</v>
      </c>
      <c r="D4" s="21" t="s">
        <v>613</v>
      </c>
      <c r="E4" s="22" t="s">
        <v>610</v>
      </c>
    </row>
    <row r="5" spans="1:5" ht="25" x14ac:dyDescent="0.35">
      <c r="A5" s="21" t="s">
        <v>607</v>
      </c>
      <c r="B5" s="21" t="s">
        <v>614</v>
      </c>
      <c r="C5" s="21" t="s">
        <v>615</v>
      </c>
      <c r="D5" s="21" t="s">
        <v>616</v>
      </c>
      <c r="E5" s="22" t="s">
        <v>610</v>
      </c>
    </row>
    <row r="6" spans="1:5" ht="25" x14ac:dyDescent="0.35">
      <c r="A6" s="21" t="s">
        <v>607</v>
      </c>
      <c r="B6" s="21" t="s">
        <v>617</v>
      </c>
      <c r="C6" s="21" t="s">
        <v>618</v>
      </c>
      <c r="D6" s="25"/>
      <c r="E6" s="22" t="s">
        <v>610</v>
      </c>
    </row>
    <row r="7" spans="1:5" ht="25" x14ac:dyDescent="0.35">
      <c r="A7" s="21" t="s">
        <v>607</v>
      </c>
      <c r="B7" s="21" t="s">
        <v>619</v>
      </c>
      <c r="C7" s="21" t="s">
        <v>620</v>
      </c>
      <c r="D7" s="21" t="s">
        <v>621</v>
      </c>
      <c r="E7" s="22" t="s">
        <v>610</v>
      </c>
    </row>
    <row r="8" spans="1:5" ht="25" x14ac:dyDescent="0.35">
      <c r="A8" s="21" t="s">
        <v>607</v>
      </c>
      <c r="B8" s="21" t="s">
        <v>622</v>
      </c>
      <c r="C8" s="21" t="s">
        <v>623</v>
      </c>
      <c r="D8" s="21" t="s">
        <v>624</v>
      </c>
      <c r="E8" s="22" t="s">
        <v>610</v>
      </c>
    </row>
    <row r="9" spans="1:5" ht="25" x14ac:dyDescent="0.35">
      <c r="A9" s="21" t="s">
        <v>607</v>
      </c>
      <c r="B9" s="21" t="s">
        <v>625</v>
      </c>
      <c r="C9" s="21" t="s">
        <v>626</v>
      </c>
      <c r="D9" s="21" t="s">
        <v>627</v>
      </c>
      <c r="E9" s="22" t="s">
        <v>610</v>
      </c>
    </row>
    <row r="10" spans="1:5" ht="37.5" x14ac:dyDescent="0.35">
      <c r="A10" s="21" t="s">
        <v>607</v>
      </c>
      <c r="B10" s="21" t="s">
        <v>628</v>
      </c>
      <c r="C10" s="21" t="s">
        <v>629</v>
      </c>
      <c r="D10" s="21" t="s">
        <v>621</v>
      </c>
      <c r="E10" s="22" t="s">
        <v>610</v>
      </c>
    </row>
    <row r="11" spans="1:5" ht="25" x14ac:dyDescent="0.35">
      <c r="A11" s="21" t="s">
        <v>607</v>
      </c>
      <c r="B11" s="21" t="s">
        <v>630</v>
      </c>
      <c r="C11" s="21" t="s">
        <v>631</v>
      </c>
      <c r="D11" s="21" t="s">
        <v>621</v>
      </c>
      <c r="E11" s="22" t="s">
        <v>610</v>
      </c>
    </row>
    <row r="12" spans="1:5" ht="50" x14ac:dyDescent="0.35">
      <c r="A12" s="21" t="s">
        <v>607</v>
      </c>
      <c r="B12" s="21" t="s">
        <v>632</v>
      </c>
      <c r="C12" s="21" t="s">
        <v>633</v>
      </c>
      <c r="D12" s="21" t="s">
        <v>634</v>
      </c>
      <c r="E12" s="22" t="s">
        <v>610</v>
      </c>
    </row>
    <row r="13" spans="1:5" ht="37.5" x14ac:dyDescent="0.35">
      <c r="A13" s="21" t="s">
        <v>607</v>
      </c>
      <c r="B13" s="21" t="s">
        <v>635</v>
      </c>
      <c r="C13" s="21" t="s">
        <v>636</v>
      </c>
      <c r="D13" s="21" t="s">
        <v>637</v>
      </c>
      <c r="E13" s="22" t="s">
        <v>610</v>
      </c>
    </row>
    <row r="14" spans="1:5" ht="25" x14ac:dyDescent="0.35">
      <c r="A14" s="21" t="s">
        <v>607</v>
      </c>
      <c r="B14" s="21" t="s">
        <v>638</v>
      </c>
      <c r="C14" s="21" t="s">
        <v>639</v>
      </c>
      <c r="D14" s="21" t="s">
        <v>640</v>
      </c>
      <c r="E14" s="22" t="s">
        <v>610</v>
      </c>
    </row>
    <row r="15" spans="1:5" ht="25" x14ac:dyDescent="0.35">
      <c r="A15" s="21" t="s">
        <v>607</v>
      </c>
      <c r="B15" s="21" t="s">
        <v>641</v>
      </c>
      <c r="C15" s="21" t="s">
        <v>642</v>
      </c>
      <c r="D15" s="21" t="s">
        <v>624</v>
      </c>
      <c r="E15" s="22" t="s">
        <v>610</v>
      </c>
    </row>
    <row r="16" spans="1:5" ht="25" x14ac:dyDescent="0.35">
      <c r="A16" s="21" t="s">
        <v>607</v>
      </c>
      <c r="B16" s="21" t="s">
        <v>643</v>
      </c>
      <c r="C16" s="21" t="s">
        <v>644</v>
      </c>
      <c r="D16" s="21" t="s">
        <v>627</v>
      </c>
      <c r="E16" s="22" t="s">
        <v>610</v>
      </c>
    </row>
    <row r="17" spans="1:5" ht="25" x14ac:dyDescent="0.35">
      <c r="A17" s="21" t="s">
        <v>645</v>
      </c>
      <c r="B17" s="21" t="s">
        <v>646</v>
      </c>
      <c r="C17" s="21" t="s">
        <v>647</v>
      </c>
      <c r="D17" s="25"/>
      <c r="E17" s="22" t="s">
        <v>648</v>
      </c>
    </row>
    <row r="18" spans="1:5" ht="25" x14ac:dyDescent="0.35">
      <c r="A18" s="21" t="s">
        <v>645</v>
      </c>
      <c r="B18" s="21" t="s">
        <v>649</v>
      </c>
      <c r="C18" s="21" t="s">
        <v>650</v>
      </c>
      <c r="D18" s="21" t="s">
        <v>651</v>
      </c>
      <c r="E18" s="22" t="s">
        <v>648</v>
      </c>
    </row>
    <row r="19" spans="1:5" ht="25" x14ac:dyDescent="0.35">
      <c r="A19" s="21" t="s">
        <v>645</v>
      </c>
      <c r="B19" s="21" t="s">
        <v>652</v>
      </c>
      <c r="C19" s="21" t="s">
        <v>653</v>
      </c>
      <c r="D19" s="21" t="s">
        <v>651</v>
      </c>
      <c r="E19" s="22" t="s">
        <v>648</v>
      </c>
    </row>
    <row r="20" spans="1:5" ht="25" x14ac:dyDescent="0.35">
      <c r="A20" s="21" t="s">
        <v>645</v>
      </c>
      <c r="B20" s="21" t="s">
        <v>654</v>
      </c>
      <c r="C20" s="21" t="s">
        <v>655</v>
      </c>
      <c r="D20" s="21" t="s">
        <v>651</v>
      </c>
      <c r="E20" s="22" t="s">
        <v>648</v>
      </c>
    </row>
    <row r="21" spans="1:5" ht="25" x14ac:dyDescent="0.35">
      <c r="A21" s="21" t="s">
        <v>645</v>
      </c>
      <c r="B21" s="21" t="s">
        <v>656</v>
      </c>
      <c r="C21" s="21" t="s">
        <v>657</v>
      </c>
      <c r="D21" s="21" t="s">
        <v>651</v>
      </c>
      <c r="E21" s="22" t="s">
        <v>648</v>
      </c>
    </row>
    <row r="22" spans="1:5" ht="25" x14ac:dyDescent="0.35">
      <c r="A22" s="21" t="s">
        <v>645</v>
      </c>
      <c r="B22" s="21" t="s">
        <v>658</v>
      </c>
      <c r="C22" s="21" t="s">
        <v>659</v>
      </c>
      <c r="D22" s="21" t="s">
        <v>660</v>
      </c>
      <c r="E22" s="22" t="s">
        <v>648</v>
      </c>
    </row>
    <row r="23" spans="1:5" ht="25" x14ac:dyDescent="0.35">
      <c r="A23" s="21" t="s">
        <v>645</v>
      </c>
      <c r="B23" s="21" t="s">
        <v>661</v>
      </c>
      <c r="C23" s="21" t="s">
        <v>662</v>
      </c>
      <c r="D23" s="21" t="s">
        <v>663</v>
      </c>
      <c r="E23" s="22" t="s">
        <v>648</v>
      </c>
    </row>
    <row r="24" spans="1:5" ht="25" x14ac:dyDescent="0.35">
      <c r="A24" s="21" t="s">
        <v>645</v>
      </c>
      <c r="B24" s="21" t="s">
        <v>664</v>
      </c>
      <c r="C24" s="21" t="s">
        <v>665</v>
      </c>
      <c r="D24" s="21" t="s">
        <v>660</v>
      </c>
      <c r="E24" s="22" t="s">
        <v>648</v>
      </c>
    </row>
    <row r="25" spans="1:5" ht="25" x14ac:dyDescent="0.35">
      <c r="A25" s="21" t="s">
        <v>645</v>
      </c>
      <c r="B25" s="21" t="s">
        <v>666</v>
      </c>
      <c r="C25" s="21" t="s">
        <v>667</v>
      </c>
      <c r="D25" s="21" t="s">
        <v>663</v>
      </c>
      <c r="E25" s="22" t="s">
        <v>648</v>
      </c>
    </row>
    <row r="26" spans="1:5" ht="25" x14ac:dyDescent="0.35">
      <c r="A26" s="21" t="s">
        <v>645</v>
      </c>
      <c r="B26" s="21" t="s">
        <v>668</v>
      </c>
      <c r="C26" s="21" t="s">
        <v>669</v>
      </c>
      <c r="D26" s="21" t="s">
        <v>651</v>
      </c>
      <c r="E26" s="22" t="s">
        <v>648</v>
      </c>
    </row>
    <row r="27" spans="1:5" ht="25" x14ac:dyDescent="0.35">
      <c r="A27" s="21" t="s">
        <v>645</v>
      </c>
      <c r="B27" s="21" t="s">
        <v>670</v>
      </c>
      <c r="C27" s="21" t="s">
        <v>671</v>
      </c>
      <c r="D27" s="21" t="s">
        <v>651</v>
      </c>
      <c r="E27" s="22" t="s">
        <v>648</v>
      </c>
    </row>
  </sheetData>
  <autoFilter ref="A2:E27" xr:uid="{00000000-0009-0000-0000-000009000000}"/>
  <mergeCells count="1">
    <mergeCell ref="A1:E1"/>
  </mergeCells>
  <hyperlinks>
    <hyperlink ref="E3" r:id="rId1" xr:uid="{00000000-0004-0000-0900-000000000000}"/>
    <hyperlink ref="E4" r:id="rId2" xr:uid="{00000000-0004-0000-0900-000001000000}"/>
    <hyperlink ref="E5" r:id="rId3" xr:uid="{00000000-0004-0000-0900-000002000000}"/>
    <hyperlink ref="E6" r:id="rId4" xr:uid="{00000000-0004-0000-0900-000003000000}"/>
    <hyperlink ref="E7" r:id="rId5" xr:uid="{00000000-0004-0000-0900-000004000000}"/>
    <hyperlink ref="E8" r:id="rId6" xr:uid="{00000000-0004-0000-0900-000005000000}"/>
    <hyperlink ref="E9" r:id="rId7" xr:uid="{00000000-0004-0000-0900-000006000000}"/>
    <hyperlink ref="E10" r:id="rId8" xr:uid="{00000000-0004-0000-0900-000007000000}"/>
    <hyperlink ref="E11" r:id="rId9" xr:uid="{00000000-0004-0000-0900-000008000000}"/>
    <hyperlink ref="E12" r:id="rId10" xr:uid="{00000000-0004-0000-0900-000009000000}"/>
    <hyperlink ref="E13" r:id="rId11" xr:uid="{00000000-0004-0000-0900-00000A000000}"/>
    <hyperlink ref="E14" r:id="rId12" xr:uid="{00000000-0004-0000-0900-00000B000000}"/>
    <hyperlink ref="E15" r:id="rId13" xr:uid="{00000000-0004-0000-0900-00000C000000}"/>
    <hyperlink ref="E16" r:id="rId14" xr:uid="{00000000-0004-0000-0900-00000D000000}"/>
    <hyperlink ref="E17" r:id="rId15" xr:uid="{00000000-0004-0000-0900-00000E000000}"/>
    <hyperlink ref="E18" r:id="rId16" xr:uid="{00000000-0004-0000-0900-00000F000000}"/>
    <hyperlink ref="E19" r:id="rId17" xr:uid="{00000000-0004-0000-0900-000010000000}"/>
    <hyperlink ref="E20" r:id="rId18" xr:uid="{00000000-0004-0000-0900-000011000000}"/>
    <hyperlink ref="E21" r:id="rId19" xr:uid="{00000000-0004-0000-0900-000012000000}"/>
    <hyperlink ref="E22" r:id="rId20" xr:uid="{00000000-0004-0000-0900-000013000000}"/>
    <hyperlink ref="E23" r:id="rId21" xr:uid="{00000000-0004-0000-0900-000014000000}"/>
    <hyperlink ref="E24" r:id="rId22" xr:uid="{00000000-0004-0000-0900-000015000000}"/>
    <hyperlink ref="E25" r:id="rId23" xr:uid="{00000000-0004-0000-0900-000016000000}"/>
    <hyperlink ref="E26" r:id="rId24" xr:uid="{00000000-0004-0000-0900-000017000000}"/>
    <hyperlink ref="E27" r:id="rId25" xr:uid="{00000000-0004-0000-0900-000018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Read Me</vt:lpstr>
      <vt:lpstr>Summary</vt:lpstr>
      <vt:lpstr>Page Permissions</vt:lpstr>
      <vt:lpstr>Menu Permissions</vt:lpstr>
      <vt:lpstr>Purchasing Permissions</vt:lpstr>
      <vt:lpstr>API Permissions</vt:lpstr>
      <vt:lpstr>Dependencies</vt:lpstr>
      <vt:lpstr>Dependency Tree</vt:lpstr>
      <vt:lpstr>Feature Permissions (v5)</vt:lpstr>
      <vt:lpstr>v6 Reference (not v5)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Troy Brannon</cp:lastModifiedBy>
  <dcterms:created xsi:type="dcterms:W3CDTF">2026-10-02T14:42:35Z</dcterms:created>
  <dcterms:modified xsi:type="dcterms:W3CDTF">2026-10-02T14:42:39Z</dcterms:modified>
</cp:coreProperties>
</file>